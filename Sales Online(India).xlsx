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NAS\lumex.online_local_sales_export\"/>
    </mc:Choice>
  </mc:AlternateContent>
  <xr:revisionPtr revIDLastSave="0" documentId="13_ncr:1_{5EC0D6C1-E1A9-4EC2-A05D-4EF64C8C97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to Buyer" sheetId="1" r:id="rId1"/>
    <sheet name="Internal Transfer" sheetId="2" r:id="rId2"/>
  </sheets>
  <externalReferences>
    <externalReference r:id="rId3"/>
  </externalReferences>
  <definedNames>
    <definedName name="_xlnm._FilterDatabase" localSheetId="0" hidden="1">'Sales to Buyer'!$A$1:$I$292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" i="1" l="1"/>
  <c r="I215" i="1"/>
  <c r="I214" i="1"/>
  <c r="I211" i="1"/>
  <c r="I209" i="1"/>
  <c r="I208" i="1"/>
  <c r="I207" i="1"/>
  <c r="I206" i="1"/>
  <c r="I203" i="1"/>
  <c r="I201" i="1"/>
  <c r="I199" i="1"/>
  <c r="I197" i="1"/>
  <c r="I196" i="1"/>
  <c r="I195" i="1"/>
  <c r="I193" i="1"/>
  <c r="I192" i="1"/>
  <c r="I189" i="1"/>
  <c r="I186" i="1"/>
  <c r="I185" i="1"/>
  <c r="I184" i="1"/>
  <c r="I182" i="1"/>
  <c r="I181" i="1"/>
  <c r="I180" i="1"/>
  <c r="I179" i="1"/>
  <c r="I175" i="1"/>
  <c r="I173" i="1"/>
  <c r="I168" i="1"/>
  <c r="I167" i="1"/>
  <c r="I164" i="1"/>
  <c r="I161" i="1"/>
  <c r="I160" i="1"/>
  <c r="I158" i="1"/>
  <c r="I155" i="1"/>
  <c r="I153" i="1"/>
  <c r="I152" i="1"/>
  <c r="I151" i="1"/>
  <c r="I148" i="1"/>
  <c r="I143" i="1"/>
  <c r="I139" i="1"/>
  <c r="I136" i="1"/>
  <c r="I135" i="1"/>
  <c r="I134" i="1"/>
  <c r="I133" i="1"/>
  <c r="I132" i="1"/>
  <c r="I127" i="1"/>
  <c r="I126" i="1"/>
  <c r="I124" i="1"/>
  <c r="I123" i="1"/>
  <c r="I122" i="1"/>
  <c r="I119" i="1"/>
  <c r="I118" i="1"/>
  <c r="I116" i="1"/>
  <c r="I115" i="1"/>
  <c r="I114" i="1"/>
  <c r="I113" i="1"/>
  <c r="I111" i="1"/>
  <c r="I110" i="1"/>
  <c r="I109" i="1"/>
  <c r="I108" i="1"/>
  <c r="I107" i="1"/>
  <c r="I106" i="1"/>
  <c r="I105" i="1"/>
  <c r="I101" i="1"/>
  <c r="I100" i="1"/>
  <c r="I99" i="1"/>
  <c r="I98" i="1"/>
  <c r="I97" i="1"/>
  <c r="I95" i="1"/>
  <c r="I94" i="1"/>
  <c r="I93" i="1"/>
  <c r="I92" i="1"/>
  <c r="I91" i="1"/>
  <c r="I89" i="1"/>
  <c r="I88" i="1"/>
  <c r="I87" i="1"/>
  <c r="I86" i="1"/>
  <c r="I84" i="1"/>
  <c r="I83" i="1"/>
  <c r="I81" i="1"/>
  <c r="I80" i="1"/>
  <c r="I79" i="1"/>
  <c r="I76" i="1"/>
  <c r="I75" i="1"/>
  <c r="I74" i="1"/>
  <c r="I73" i="1"/>
  <c r="I72" i="1"/>
  <c r="I71" i="1"/>
  <c r="I70" i="1"/>
  <c r="I69" i="1"/>
  <c r="I67" i="1"/>
  <c r="I33" i="1"/>
  <c r="I30" i="1"/>
  <c r="I12" i="1"/>
  <c r="I11" i="1"/>
</calcChain>
</file>

<file path=xl/sharedStrings.xml><?xml version="1.0" encoding="utf-8"?>
<sst xmlns="http://schemas.openxmlformats.org/spreadsheetml/2006/main" count="1099" uniqueCount="507">
  <si>
    <t xml:space="preserve">Date </t>
  </si>
  <si>
    <t>Order Number</t>
  </si>
  <si>
    <t>Invoice Number</t>
  </si>
  <si>
    <t>Buyer Name</t>
  </si>
  <si>
    <t>Order Type</t>
  </si>
  <si>
    <t>Pcs</t>
  </si>
  <si>
    <t>Total Carat</t>
  </si>
  <si>
    <t>Total($)</t>
  </si>
  <si>
    <t>EXO/01/24-25</t>
  </si>
  <si>
    <t>Prosperous Gems FZCO</t>
  </si>
  <si>
    <t>normal</t>
  </si>
  <si>
    <t>EXO/02/24-25</t>
  </si>
  <si>
    <t>EXO/03/24-25</t>
  </si>
  <si>
    <t>EXO/04/24-25</t>
  </si>
  <si>
    <t>EXO/05/24-25</t>
  </si>
  <si>
    <t>EXO/06/24-25</t>
  </si>
  <si>
    <t>EXO/07/24-25</t>
  </si>
  <si>
    <t>EXO/08/24-25</t>
  </si>
  <si>
    <t>EXO/09/24-25</t>
  </si>
  <si>
    <t>LSO/01/24-25</t>
  </si>
  <si>
    <t>FACET 58 JEWELLERY COMPANY PRIVATE LIMITED</t>
  </si>
  <si>
    <t>LSO/02/24-25</t>
  </si>
  <si>
    <t>EXO/01/25-26</t>
  </si>
  <si>
    <t>EXO/02/25-26</t>
  </si>
  <si>
    <t>EXO/03/25-26</t>
  </si>
  <si>
    <t>LEXOL/01/25-26</t>
  </si>
  <si>
    <t>loose lot</t>
  </si>
  <si>
    <t xml:space="preserve">EXO/04/25-26	</t>
  </si>
  <si>
    <t>Canadian Gem P.A. INC</t>
  </si>
  <si>
    <t xml:space="preserve">EXO/05/25-26	</t>
  </si>
  <si>
    <t>LEXOL/02/25-26</t>
  </si>
  <si>
    <t>EXO/06/25-26</t>
  </si>
  <si>
    <t>LEXOL/03/25-26</t>
  </si>
  <si>
    <t>LEXOL/04/25-26</t>
  </si>
  <si>
    <t>EXO/07/25-26</t>
  </si>
  <si>
    <t xml:space="preserve">LSO/01/25-26	</t>
  </si>
  <si>
    <t>TREZZA JEWELS LLP</t>
  </si>
  <si>
    <t>LEXOL/06/25-26</t>
  </si>
  <si>
    <t>EXO/08/25-26</t>
  </si>
  <si>
    <t>EXO/09/25-26</t>
  </si>
  <si>
    <t>EXO/10/25-26</t>
  </si>
  <si>
    <t>LEXOL/07/25-26</t>
  </si>
  <si>
    <t>LSO/02/25-26</t>
  </si>
  <si>
    <t>R K IMPEX</t>
  </si>
  <si>
    <t>EXO/11/25-26</t>
  </si>
  <si>
    <t>LEXOL/08/25-26</t>
  </si>
  <si>
    <t>LSO/03/25-26</t>
  </si>
  <si>
    <t>DIAMATE EXPORTS</t>
  </si>
  <si>
    <t>LEXOL/09/25-26</t>
  </si>
  <si>
    <t>EXO/12/25-26</t>
  </si>
  <si>
    <t>EXO/13/25-26</t>
  </si>
  <si>
    <t>LEXOL/10/25-26</t>
  </si>
  <si>
    <t>LEXOL/11/25-26</t>
  </si>
  <si>
    <t>EXO/14/25-26</t>
  </si>
  <si>
    <t>LEXOL/12/25-26</t>
  </si>
  <si>
    <t xml:space="preserve">EXO/15/25-26	</t>
  </si>
  <si>
    <t>EXO/16/25-26</t>
  </si>
  <si>
    <t>Casa Jewels Co. Ltd</t>
  </si>
  <si>
    <t xml:space="preserve">EXO/17/25-26	</t>
  </si>
  <si>
    <t>LEXOL/13/25-26</t>
  </si>
  <si>
    <t>EXO/18/25-26</t>
  </si>
  <si>
    <t xml:space="preserve">LEXOL/14/25-26	</t>
  </si>
  <si>
    <t xml:space="preserve">LEXOL/15/25-26	</t>
  </si>
  <si>
    <t xml:space="preserve">EXO/19/25-26	</t>
  </si>
  <si>
    <t xml:space="preserve">EXO/20/25-26	</t>
  </si>
  <si>
    <t>LEXOL/16/25-26</t>
  </si>
  <si>
    <t xml:space="preserve">LEXOL/17/25-26	</t>
  </si>
  <si>
    <t xml:space="preserve">EXO/21/25-26	</t>
  </si>
  <si>
    <t>EXOL/01/25-26</t>
  </si>
  <si>
    <t xml:space="preserve">own shape	</t>
  </si>
  <si>
    <t xml:space="preserve">LEXOL/18/25-26	</t>
  </si>
  <si>
    <t xml:space="preserve">EXOL/02/25-26	</t>
  </si>
  <si>
    <t>EXO/22/25-26</t>
  </si>
  <si>
    <t>EXO/23/25-26</t>
  </si>
  <si>
    <t>EXO/24/25-26</t>
  </si>
  <si>
    <t>EXO/25/25-26</t>
  </si>
  <si>
    <t>Combine</t>
  </si>
  <si>
    <t>EXO/26/25-26</t>
  </si>
  <si>
    <t>EXO/28/25-26</t>
  </si>
  <si>
    <t>EXO/29/25-26</t>
  </si>
  <si>
    <t>EXO/30/25-26</t>
  </si>
  <si>
    <t>EXO/31/25-26</t>
  </si>
  <si>
    <t>EXO/32/25-26</t>
  </si>
  <si>
    <t xml:space="preserve">EXO/33/25-26	</t>
  </si>
  <si>
    <t>LSO/04/25-26</t>
  </si>
  <si>
    <t>IDI JEWELS (INDIA) MFG PRIVATE LIMITED</t>
  </si>
  <si>
    <t>EXO/35/25-26</t>
  </si>
  <si>
    <t>LSO/05/25-26</t>
  </si>
  <si>
    <t>LSO/06/25-26</t>
  </si>
  <si>
    <t>LSO/07/25-26</t>
  </si>
  <si>
    <t>LSO/08/25-26</t>
  </si>
  <si>
    <t>Colorstroke Jewels LLP</t>
  </si>
  <si>
    <t>LSO/09/25-26</t>
  </si>
  <si>
    <t>LSO/10/25-26</t>
  </si>
  <si>
    <t>LSO/11/25-26</t>
  </si>
  <si>
    <t>Colorstroke Jewels LLp</t>
  </si>
  <si>
    <t>LSO/12/25-26</t>
  </si>
  <si>
    <t>EXO/36/25-26</t>
  </si>
  <si>
    <t>EXO/37/25-26</t>
  </si>
  <si>
    <t>LSO/13/25-26</t>
  </si>
  <si>
    <t>LSO/14/25-26</t>
  </si>
  <si>
    <t>LSO/15/25-26</t>
  </si>
  <si>
    <t>EXO/38/25-26</t>
  </si>
  <si>
    <t>LSO/16/25-26</t>
  </si>
  <si>
    <t>LSO/17/25-26</t>
  </si>
  <si>
    <t>EXO/39/25-26</t>
  </si>
  <si>
    <t>LSO/18/25-26</t>
  </si>
  <si>
    <t>LSO/19/25-26</t>
  </si>
  <si>
    <t>-</t>
  </si>
  <si>
    <t>LSO/20/25-26</t>
  </si>
  <si>
    <t>LSO/21/25-26</t>
  </si>
  <si>
    <t>LSO/22/25-26</t>
  </si>
  <si>
    <t>B. Arunkumar &amp; Co</t>
  </si>
  <si>
    <t>LSO/23/25-26</t>
  </si>
  <si>
    <t>LSO/24/25-26</t>
  </si>
  <si>
    <t>LSO/25/25-26</t>
  </si>
  <si>
    <t>LSO/26/25-26</t>
  </si>
  <si>
    <t>LSO/27/25-26</t>
  </si>
  <si>
    <t>EXO/40/25-26</t>
  </si>
  <si>
    <t>LSO/28/25-26</t>
  </si>
  <si>
    <t>LSO/29/25-26</t>
  </si>
  <si>
    <t>LSO/30/25-26</t>
  </si>
  <si>
    <t>LSO/31/25-26</t>
  </si>
  <si>
    <t>LSO/32/25-26</t>
  </si>
  <si>
    <t>LSO/33/25-26</t>
  </si>
  <si>
    <t>EXO/41/25-26</t>
  </si>
  <si>
    <t>LSO/34/25-26</t>
  </si>
  <si>
    <t>LSO/35/25-26</t>
  </si>
  <si>
    <t>SK JEWELRY LLP</t>
  </si>
  <si>
    <t>LSO/36/25-26</t>
  </si>
  <si>
    <t>LSO/37/25-26</t>
  </si>
  <si>
    <t>LSO/38/25-26</t>
  </si>
  <si>
    <t>LSO/39/25-26</t>
  </si>
  <si>
    <t>LSO/40/25-26</t>
  </si>
  <si>
    <t>CUPID DIAMONDS PVT LTD</t>
  </si>
  <si>
    <t>LSO/41/25-26</t>
  </si>
  <si>
    <t>INNOVATE JEWELLERY LLP</t>
  </si>
  <si>
    <t>LSO/42/25-26</t>
  </si>
  <si>
    <t>LSO/43/25-26</t>
  </si>
  <si>
    <t>1766748074977-1</t>
  </si>
  <si>
    <t>LSO/44/25-26</t>
  </si>
  <si>
    <t>R Sunil &amp; Co</t>
  </si>
  <si>
    <t>LSO/45/25-26</t>
  </si>
  <si>
    <t>LSO/46/25-26</t>
  </si>
  <si>
    <t>EXO/42/25-26</t>
  </si>
  <si>
    <t>LSO/47/25-26</t>
  </si>
  <si>
    <t>LSO/48/25-26</t>
  </si>
  <si>
    <t>EXO/43/25-26</t>
  </si>
  <si>
    <t>EXO/44/25-26</t>
  </si>
  <si>
    <t>Emircan Ozasi Mucevherat Limited Sirketi</t>
  </si>
  <si>
    <t>LSO/49/25-26</t>
  </si>
  <si>
    <t>1767787383210-1</t>
  </si>
  <si>
    <t>LSO/50/25-26</t>
  </si>
  <si>
    <t>LSO/51/25-26</t>
  </si>
  <si>
    <t>EXO/45/25-26</t>
  </si>
  <si>
    <t>LSO/52/25-26</t>
  </si>
  <si>
    <t>LSO/53/25-26</t>
  </si>
  <si>
    <t>1768303924893-1</t>
  </si>
  <si>
    <t>LSO/54/25-26</t>
  </si>
  <si>
    <t>B. Arunkumar &amp; co</t>
  </si>
  <si>
    <t>1768375014749-1</t>
  </si>
  <si>
    <t>LSO/55/25-26</t>
  </si>
  <si>
    <t>CLEAN EARTH JEWELS LLP</t>
  </si>
  <si>
    <t>1768462209923-1</t>
  </si>
  <si>
    <t>LSO/56/25-26</t>
  </si>
  <si>
    <t>EXO/46/25-26</t>
  </si>
  <si>
    <t>LSO/57/25-26</t>
  </si>
  <si>
    <t>LSO/58/25-26</t>
  </si>
  <si>
    <t>LSO/59/25-26</t>
  </si>
  <si>
    <t>LSO/60/25-26</t>
  </si>
  <si>
    <t>LSO/61/25-26</t>
  </si>
  <si>
    <t>1768304324849-1</t>
  </si>
  <si>
    <t>LSO/62/25-26</t>
  </si>
  <si>
    <t>1769082496950-1</t>
  </si>
  <si>
    <t>LSO/63/25-26</t>
  </si>
  <si>
    <t>LSO/64/25-26</t>
  </si>
  <si>
    <t>EXO/47/25-26</t>
  </si>
  <si>
    <t>1769502392311-1</t>
  </si>
  <si>
    <t>LSO/65/25-26</t>
  </si>
  <si>
    <t>EXO/49/25-26</t>
  </si>
  <si>
    <t>EMET DIAMOND DEALER</t>
  </si>
  <si>
    <t>LSO/66/25-26</t>
  </si>
  <si>
    <t>1769594092563-1</t>
  </si>
  <si>
    <t>LSO/67/25-26</t>
  </si>
  <si>
    <t>Prime Grown Diamonds</t>
  </si>
  <si>
    <t>EXO/48/25-26</t>
  </si>
  <si>
    <t>1769676307912-1</t>
  </si>
  <si>
    <t>LSO/68/25-26</t>
  </si>
  <si>
    <t>1769676644216-1</t>
  </si>
  <si>
    <t>LSO/69/25-26</t>
  </si>
  <si>
    <t>LSO/70/25-26</t>
  </si>
  <si>
    <t>EXO/50/25-26</t>
  </si>
  <si>
    <t>1769770040915-1</t>
  </si>
  <si>
    <t>LSO/71/25-26</t>
  </si>
  <si>
    <t>1769772418491-1</t>
  </si>
  <si>
    <t>LSO/72/25-26</t>
  </si>
  <si>
    <t>KARBON KRAFT</t>
  </si>
  <si>
    <t>LSO/73/25-26</t>
  </si>
  <si>
    <t>LSO/74/25-26</t>
  </si>
  <si>
    <t>1769853697338-1</t>
  </si>
  <si>
    <t>LSO/75/25-26</t>
  </si>
  <si>
    <t>LSO/76/25-26</t>
  </si>
  <si>
    <t>EXO/51/25-26</t>
  </si>
  <si>
    <t>1769770040915-3</t>
  </si>
  <si>
    <t>LSO/77/25-26</t>
  </si>
  <si>
    <t>LSO/78/25-26</t>
  </si>
  <si>
    <t>EXO/52/25-26</t>
  </si>
  <si>
    <t>Murcia and Co Pty Ltd</t>
  </si>
  <si>
    <t>1770616767985-1</t>
  </si>
  <si>
    <t>LSO/79/25-26</t>
  </si>
  <si>
    <t>LSO/80/25-26</t>
  </si>
  <si>
    <t>memo</t>
  </si>
  <si>
    <t>1769770040915-4</t>
  </si>
  <si>
    <t>LSO/81/25-26</t>
  </si>
  <si>
    <t>LSO/82/25-26</t>
  </si>
  <si>
    <t>LSO/83/25-26</t>
  </si>
  <si>
    <t>EXO/53/25-26</t>
  </si>
  <si>
    <t>EXO/54/25-26</t>
  </si>
  <si>
    <t>LSO/86/25-26</t>
  </si>
  <si>
    <t>LSO/84/25-26</t>
  </si>
  <si>
    <t>1770630526010-1</t>
  </si>
  <si>
    <t>LSO/85/25-26</t>
  </si>
  <si>
    <t>EXO/56/25-26</t>
  </si>
  <si>
    <t>1771496746072-1</t>
  </si>
  <si>
    <t>LSO/87/25-26</t>
  </si>
  <si>
    <t>B D JEWELLERS</t>
  </si>
  <si>
    <t>LSO/88/25-26</t>
  </si>
  <si>
    <t>EXO/58/25-26</t>
  </si>
  <si>
    <t>LSO/89/25-26</t>
  </si>
  <si>
    <t>1770630526010-3</t>
  </si>
  <si>
    <t>LSO/90/25-26</t>
  </si>
  <si>
    <t>1771826069476-1</t>
  </si>
  <si>
    <t>LSO/91/25-26</t>
  </si>
  <si>
    <t>ALLANZA JEWELS PRIVATE LIMITED</t>
  </si>
  <si>
    <t>EXO/59/25-26</t>
  </si>
  <si>
    <t>LSO/92/25-26</t>
  </si>
  <si>
    <t>LSO/93/25-26</t>
  </si>
  <si>
    <t>LSO/94/25-26</t>
  </si>
  <si>
    <t>DIACREST JEWELS LLP</t>
  </si>
  <si>
    <t>LSO/95/25-26</t>
  </si>
  <si>
    <t>EXO/60/25-26</t>
  </si>
  <si>
    <t>LSO/96/25-26</t>
  </si>
  <si>
    <t>LSO/97/25-26</t>
  </si>
  <si>
    <t>LSO/98/25-26</t>
  </si>
  <si>
    <t>PARSHAV GEMS</t>
  </si>
  <si>
    <t>EXO/61/25-26</t>
  </si>
  <si>
    <t>1770630526010-4</t>
  </si>
  <si>
    <t>LSO/99/25-26</t>
  </si>
  <si>
    <t>LSO/100/25-26</t>
  </si>
  <si>
    <t>LSO/103/25-26</t>
  </si>
  <si>
    <t>LSO/104/25-26</t>
  </si>
  <si>
    <t>1770630526010-5</t>
  </si>
  <si>
    <t>LSO/105/25-26</t>
  </si>
  <si>
    <t>LSO/106/25-26</t>
  </si>
  <si>
    <t>LSO/107/25-26</t>
  </si>
  <si>
    <t>1771569638301-</t>
  </si>
  <si>
    <t>LSO/108/25-26</t>
  </si>
  <si>
    <t>1770630526010-6</t>
  </si>
  <si>
    <t>LSO/109/25-26</t>
  </si>
  <si>
    <t>1771569638301-2</t>
  </si>
  <si>
    <t>LSO/110/25-26</t>
  </si>
  <si>
    <t>1773397357807-1</t>
  </si>
  <si>
    <t>LSO/111/25-26</t>
  </si>
  <si>
    <t>A.A.DIAMOND</t>
  </si>
  <si>
    <t>1771569638301-3</t>
  </si>
  <si>
    <t>LSO/112/25-26</t>
  </si>
  <si>
    <t>1770630526010-7</t>
  </si>
  <si>
    <t>LSO/113/25-26</t>
  </si>
  <si>
    <t>1771569638301-4</t>
  </si>
  <si>
    <t>LSO/114/25-26</t>
  </si>
  <si>
    <t>LSO/115/25-26</t>
  </si>
  <si>
    <t>1770630526010-8</t>
  </si>
  <si>
    <t>LSO/116/25-26</t>
  </si>
  <si>
    <t>1771569638301-5</t>
  </si>
  <si>
    <t>LSO/117/25-26</t>
  </si>
  <si>
    <t>1771569638301-6</t>
  </si>
  <si>
    <t>LSO/118/25-26</t>
  </si>
  <si>
    <t>1771569638301-7</t>
  </si>
  <si>
    <t>LSO/119/25-26</t>
  </si>
  <si>
    <t>1771569638301-9</t>
  </si>
  <si>
    <t>LSO/120/25-26</t>
  </si>
  <si>
    <t>1770630526010-9</t>
  </si>
  <si>
    <t>LSO/121/25-26</t>
  </si>
  <si>
    <t>1771569638301-10</t>
  </si>
  <si>
    <t>LSO/122/25-26</t>
  </si>
  <si>
    <t>EXO/62/25-26</t>
  </si>
  <si>
    <t>EXO/63/25-26</t>
  </si>
  <si>
    <t>1771569638301-12</t>
  </si>
  <si>
    <t>LSO/123/25-26</t>
  </si>
  <si>
    <t>1771569638301-13</t>
  </si>
  <si>
    <t>LSO/124/25-26</t>
  </si>
  <si>
    <t>1771569638301-14</t>
  </si>
  <si>
    <t>LSO/125/25-26</t>
  </si>
  <si>
    <t>1771569638301-15</t>
  </si>
  <si>
    <t>LSO/126/25-26</t>
  </si>
  <si>
    <t>1774678348146-1</t>
  </si>
  <si>
    <t>LSO/127/25-26</t>
  </si>
  <si>
    <t>1771569638301-16</t>
  </si>
  <si>
    <t>LSO/128/25-26</t>
  </si>
  <si>
    <t>EXO/64/25-26</t>
  </si>
  <si>
    <t>1771569638301-17</t>
  </si>
  <si>
    <t>LSO/129/25-26</t>
  </si>
  <si>
    <t>LSO/130/25-26</t>
  </si>
  <si>
    <t>LSO/131/25-26</t>
  </si>
  <si>
    <t>1771569638301-18</t>
  </si>
  <si>
    <t>LSO/01/26-27</t>
  </si>
  <si>
    <t>1771569638301-19</t>
  </si>
  <si>
    <t>LSO/02/26-27</t>
  </si>
  <si>
    <t>EXO/01/26-27</t>
  </si>
  <si>
    <t>Gems Market LLC</t>
  </si>
  <si>
    <t>EXO/03/26-27</t>
  </si>
  <si>
    <t>1771569638301-20</t>
  </si>
  <si>
    <t>LSO/03/26-27</t>
  </si>
  <si>
    <t>own shape</t>
  </si>
  <si>
    <t>1775474293422-1</t>
  </si>
  <si>
    <t>LSO/04/26-27</t>
  </si>
  <si>
    <t>1771569638301-21</t>
  </si>
  <si>
    <t>LSO/05/26-27</t>
  </si>
  <si>
    <t>Date of receipt</t>
  </si>
  <si>
    <t>1775552794190</t>
  </si>
  <si>
    <t>1775551057242-1</t>
  </si>
  <si>
    <t>LSO/06/26-27</t>
  </si>
  <si>
    <t>1775640401275-1</t>
  </si>
  <si>
    <t>EXO/05/26-27</t>
  </si>
  <si>
    <t>1775820847195</t>
  </si>
  <si>
    <t>LSO/08/26-27</t>
  </si>
  <si>
    <t>combined</t>
  </si>
  <si>
    <t>1775818923766-1</t>
  </si>
  <si>
    <t>LSO/07/26-27</t>
  </si>
  <si>
    <t>1775806835792</t>
  </si>
  <si>
    <t>EXO/06/26-27</t>
  </si>
  <si>
    <t>1776081630554</t>
  </si>
  <si>
    <t>LSO/12/26-27</t>
  </si>
  <si>
    <t>1771569638301-22</t>
  </si>
  <si>
    <t>LSO/11/26-27</t>
  </si>
  <si>
    <t>1776069272790</t>
  </si>
  <si>
    <t>EXO/07/26-27</t>
  </si>
  <si>
    <t>1776062669678-1</t>
  </si>
  <si>
    <t>LSO/10/26-27</t>
  </si>
  <si>
    <t>1776053412190-1</t>
  </si>
  <si>
    <t>LSO/09/26-27</t>
  </si>
  <si>
    <t>1776159837104</t>
  </si>
  <si>
    <t>1776245581288-1</t>
  </si>
  <si>
    <t>LSO/14/26-27</t>
  </si>
  <si>
    <t>1776231443088-1</t>
  </si>
  <si>
    <t>LSO/13/26-27</t>
  </si>
  <si>
    <t>R. K. GEMS</t>
  </si>
  <si>
    <t>1776412494385</t>
  </si>
  <si>
    <t>EXO/11/26-27</t>
  </si>
  <si>
    <t>1776410257551-1</t>
  </si>
  <si>
    <t>1776490001173</t>
  </si>
  <si>
    <t>LSO/15/26-27</t>
  </si>
  <si>
    <t>1771569638301-23</t>
  </si>
  <si>
    <t>LSO/16/26-27</t>
  </si>
  <si>
    <t>1776670119988</t>
  </si>
  <si>
    <t>EXO/12/26-27</t>
  </si>
  <si>
    <t>1776851850027-1</t>
  </si>
  <si>
    <t>LSO/18/26-27</t>
  </si>
  <si>
    <t>AMULAKHH JEWELS LLP</t>
  </si>
  <si>
    <t>1776843656999-1</t>
  </si>
  <si>
    <t>1771569638301-24</t>
  </si>
  <si>
    <t>LSO/17/26-27</t>
  </si>
  <si>
    <t>1776936992964-1</t>
  </si>
  <si>
    <t>LSO/20/26-27</t>
  </si>
  <si>
    <t>1776930328525</t>
  </si>
  <si>
    <t>EXO/14/26-27</t>
  </si>
  <si>
    <t>1776919031045-1</t>
  </si>
  <si>
    <t>LSO/19/26-27</t>
  </si>
  <si>
    <t>PAL DIAM</t>
  </si>
  <si>
    <t>1777029668576</t>
  </si>
  <si>
    <t>EXO/15/26-27</t>
  </si>
  <si>
    <t>1777023820415-1</t>
  </si>
  <si>
    <t>LSO/22/26-27</t>
  </si>
  <si>
    <t>Uni Luxury India Pvt Ltd</t>
  </si>
  <si>
    <t>1777006565793-1</t>
  </si>
  <si>
    <t>LSO/21/26-27</t>
  </si>
  <si>
    <t>1771569638301-25</t>
  </si>
  <si>
    <t>LSO/23/26-27</t>
  </si>
  <si>
    <t>1777373038434-1</t>
  </si>
  <si>
    <t>LSO/24/26-27</t>
  </si>
  <si>
    <t>1777459242991-1</t>
  </si>
  <si>
    <t>LSO/28/26-27</t>
  </si>
  <si>
    <t>SAARP TRADING LLP</t>
  </si>
  <si>
    <t>1777458835323-1</t>
  </si>
  <si>
    <t>LSO/27/26-27</t>
  </si>
  <si>
    <t>ANTIQUE CUT</t>
  </si>
  <si>
    <t>1777455454861</t>
  </si>
  <si>
    <t>LSO/30/26-27</t>
  </si>
  <si>
    <t>MANGALYA EXIM</t>
  </si>
  <si>
    <t>1777453785585-1</t>
  </si>
  <si>
    <t>LSO/26/26-27</t>
  </si>
  <si>
    <t>1777443459064-1</t>
  </si>
  <si>
    <t>LSO/25/26-27</t>
  </si>
  <si>
    <t>1777552618591-1</t>
  </si>
  <si>
    <t>LSO/31/26-27</t>
  </si>
  <si>
    <t>PADMINI JEWELS</t>
  </si>
  <si>
    <t>1777532346034</t>
  </si>
  <si>
    <t>EXO/17/26-27</t>
  </si>
  <si>
    <t>1777526198167-1</t>
  </si>
  <si>
    <t>LSO/29/26-27</t>
  </si>
  <si>
    <t>ELEGANT COLLECTION</t>
  </si>
  <si>
    <t>1771569638301-26</t>
  </si>
  <si>
    <t>LSO/32/26-27</t>
  </si>
  <si>
    <t>1777971436536-1</t>
  </si>
  <si>
    <t>EXO/19/26-27</t>
  </si>
  <si>
    <t>1777964808234-1</t>
  </si>
  <si>
    <t>1771569638301-27</t>
  </si>
  <si>
    <t>LSO/33/26-27</t>
  </si>
  <si>
    <t>1771569638301-28</t>
  </si>
  <si>
    <t>LSO/34/26-27</t>
  </si>
  <si>
    <t>1778047382606-1</t>
  </si>
  <si>
    <t>EXO/20/26-27</t>
  </si>
  <si>
    <t>Jay Gems Co, LTD.</t>
  </si>
  <si>
    <t>EXO/21/26-27</t>
  </si>
  <si>
    <t>combine</t>
  </si>
  <si>
    <t>EXO/22/26-27</t>
  </si>
  <si>
    <t>1771569638301-29</t>
  </si>
  <si>
    <t>LSO/35/26-27</t>
  </si>
  <si>
    <t>1771569638301-30</t>
  </si>
  <si>
    <t>LSO/36/26-27</t>
  </si>
  <si>
    <t>EXO/23/26-27</t>
  </si>
  <si>
    <t>1778233966665-1</t>
  </si>
  <si>
    <t>LSO/37/26-27</t>
  </si>
  <si>
    <t>1771569638301-31</t>
  </si>
  <si>
    <t>LSO/38/26-27</t>
  </si>
  <si>
    <t>1778487167485-1</t>
  </si>
  <si>
    <t>EXO/24/26-27</t>
  </si>
  <si>
    <t>1778564416313-1</t>
  </si>
  <si>
    <t>LSO/39/26-27</t>
  </si>
  <si>
    <t>1771569638301-32</t>
  </si>
  <si>
    <t>LSO/40/26-27</t>
  </si>
  <si>
    <t>1771569638301-33</t>
  </si>
  <si>
    <t>LSO/41/26-27</t>
  </si>
  <si>
    <t>LSO/42/26-27</t>
  </si>
  <si>
    <t>EXO/25/26-27</t>
  </si>
  <si>
    <t>1771569638301-34</t>
  </si>
  <si>
    <t>LSO/43/26-27</t>
  </si>
  <si>
    <t>1778916442067-1</t>
  </si>
  <si>
    <t>1779165073147-1</t>
  </si>
  <si>
    <t>LSO/44/26-27</t>
  </si>
  <si>
    <t>1771569638301-35</t>
  </si>
  <si>
    <t>LSO/45/26-27</t>
  </si>
  <si>
    <t>1775620046511-1</t>
  </si>
  <si>
    <t>EXO/27/26-27</t>
  </si>
  <si>
    <t>1779438287261-1</t>
  </si>
  <si>
    <t>EXO/28/26-27</t>
  </si>
  <si>
    <t>1779347350071-1</t>
  </si>
  <si>
    <t>LSO/46/26-27</t>
  </si>
  <si>
    <t>1771569638301-36</t>
  </si>
  <si>
    <t>LSO/47/26-27</t>
  </si>
  <si>
    <t>1779777004194-1</t>
  </si>
  <si>
    <t>LSO/48/26-27</t>
  </si>
  <si>
    <t>DIAMONDXE PRIVATE LIMITED</t>
  </si>
  <si>
    <t>1780042520670-1</t>
  </si>
  <si>
    <t>LSO/49/26-27</t>
  </si>
  <si>
    <t>LSO/50/26-27</t>
  </si>
  <si>
    <t>1780055096004-1</t>
  </si>
  <si>
    <t>LSO/51/26-27</t>
  </si>
  <si>
    <t>AVANT INDIA PRIVATE LIMITED</t>
  </si>
  <si>
    <t>1771569638301-37</t>
  </si>
  <si>
    <t>LSO/52/26-27</t>
  </si>
  <si>
    <t>1780129305529-1</t>
  </si>
  <si>
    <t>LSO/53/26-27</t>
  </si>
  <si>
    <t>EXO/27/25-26</t>
  </si>
  <si>
    <t>LDSPL&gt;LD</t>
  </si>
  <si>
    <t>COMBINE</t>
  </si>
  <si>
    <t>EXO/34/25-26</t>
  </si>
  <si>
    <t>EXO/55/25-26</t>
  </si>
  <si>
    <t>LDSPL&gt;LDD</t>
  </si>
  <si>
    <t>NORMAL</t>
  </si>
  <si>
    <t>EXO/02/26-27</t>
  </si>
  <si>
    <t>1775811407332</t>
  </si>
  <si>
    <t>EXO/04/26-27</t>
  </si>
  <si>
    <t>LDSPL&gt;LO</t>
  </si>
  <si>
    <t>EXO/08/26-27</t>
  </si>
  <si>
    <t>LDSPL &gt; LO</t>
  </si>
  <si>
    <t>1776252436929</t>
  </si>
  <si>
    <t>EXO/09/26-27</t>
  </si>
  <si>
    <t>EXO/10/26-27</t>
  </si>
  <si>
    <t>EXO/13/26-27</t>
  </si>
  <si>
    <t>1777531884071-1</t>
  </si>
  <si>
    <t>EXO/16/26-27</t>
  </si>
  <si>
    <t>EXO/18/26-27</t>
  </si>
  <si>
    <t>EXO/26/26-27</t>
  </si>
  <si>
    <t>EXO/29/26-27</t>
  </si>
  <si>
    <t>EXO/57/25-26</t>
  </si>
  <si>
    <t>LSO/101/25-26</t>
  </si>
  <si>
    <t>LSO/102/25-26</t>
  </si>
  <si>
    <t>LSO/54/26-27</t>
  </si>
  <si>
    <t>1771569638301-38</t>
  </si>
  <si>
    <t>EXO/30/26-27</t>
  </si>
  <si>
    <t>1780486914153-1</t>
  </si>
  <si>
    <t>LSO/55/26-27</t>
  </si>
  <si>
    <t>1780566136096-1</t>
  </si>
  <si>
    <t>LSO/57/26-27</t>
  </si>
  <si>
    <t xml:space="preserve">AVANT INDIA PRIVATE LIMITED </t>
  </si>
  <si>
    <t>1771569638301-39</t>
  </si>
  <si>
    <t>LSO/56/26-27</t>
  </si>
  <si>
    <t>EXO/31/26-27</t>
  </si>
  <si>
    <t>1780731123023-1</t>
  </si>
  <si>
    <t>EXO/34/26-27</t>
  </si>
  <si>
    <t>EXO/33/26-27</t>
  </si>
  <si>
    <t>1780723839036-1</t>
  </si>
  <si>
    <t>1771569638301-40</t>
  </si>
  <si>
    <t>LSO/58/26-27</t>
  </si>
  <si>
    <t>EXO/32/26-27</t>
  </si>
  <si>
    <t>EXO/35/26-27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</si>
</sst>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1E293B"/>
      <name val="Roboto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1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1" fontId="0" fillId="2" borderId="1" xfId="0" applyNumberFormat="1" applyFill="1" applyBorder="1" applyAlignment="1">
      <alignment horizontal="right" wrapText="1"/>
    </xf>
    <xf numFmtId="1" fontId="0" fillId="0" borderId="1" xfId="0" applyNumberFormat="1" applyBorder="1" applyAlignment="1">
      <alignment horizontal="left" wrapText="1"/>
    </xf>
    <xf numFmtId="0" fontId="2" fillId="0" borderId="1" xfId="0" applyFont="1" applyBorder="1"/>
    <xf numFmtId="4" fontId="0" fillId="0" borderId="1" xfId="0" applyNumberFormat="1" applyBorder="1"/>
    <xf numFmtId="3" fontId="0" fillId="0" borderId="1" xfId="0" applyNumberFormat="1" applyBorder="1"/>
    <xf numFmtId="14" fontId="0" fillId="0" borderId="0" xfId="0" applyNumberFormat="1"/>
    <xf numFmtId="14" fontId="1" fillId="0" borderId="1" xfId="0" applyNumberFormat="1" applyFont="1" applyBorder="1"/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  <xf numFmtId="2" fontId="2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/>
    <xf numFmtId="1" fontId="0" fillId="0" borderId="1" xfId="0" applyNumberFormat="1" applyBorder="1" applyAlignment="1">
      <alignment horizontal="left"/>
    </xf>
    <xf numFmtId="1" fontId="0" fillId="0" borderId="2" xfId="0" applyNumberFormat="1" applyBorder="1" applyAlignment="1">
      <alignment horizontal="righ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TallyPrimeEditLog%20(3)\DTBTRH.xls" TargetMode="External"/><Relationship Id="rId1" Type="http://schemas.openxmlformats.org/officeDocument/2006/relationships/externalLinkPath" Target="file:///C:\Program%20Files\TallyPrimeEditLog%20(3)\DTBTR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eipt Register"/>
    </sheetNames>
    <sheetDataSet>
      <sheetData sheetId="0">
        <row r="2">
          <cell r="A2" t="str">
            <v>LSO/01/24-25</v>
          </cell>
          <cell r="B2">
            <v>45756</v>
          </cell>
        </row>
        <row r="3">
          <cell r="A3" t="str">
            <v>LSO/02/24-25</v>
          </cell>
          <cell r="B3">
            <v>45756</v>
          </cell>
        </row>
        <row r="4">
          <cell r="A4" t="str">
            <v>LSO/01/25-26</v>
          </cell>
          <cell r="B4">
            <v>45845</v>
          </cell>
        </row>
        <row r="5">
          <cell r="A5" t="str">
            <v>LSO/02/25-26</v>
          </cell>
          <cell r="B5">
            <v>45854</v>
          </cell>
        </row>
        <row r="6">
          <cell r="A6" t="str">
            <v>LSO/03/25-26</v>
          </cell>
          <cell r="B6">
            <v>45862</v>
          </cell>
        </row>
        <row r="7">
          <cell r="A7" t="str">
            <v>LSO/04/25-26</v>
          </cell>
          <cell r="B7">
            <v>46001</v>
          </cell>
        </row>
        <row r="8">
          <cell r="A8" t="str">
            <v>LSO/05/25-26</v>
          </cell>
          <cell r="B8">
            <v>46001</v>
          </cell>
        </row>
        <row r="9">
          <cell r="A9" t="str">
            <v>LSO/06/25-26</v>
          </cell>
          <cell r="B9">
            <v>46001</v>
          </cell>
        </row>
        <row r="10">
          <cell r="A10" t="str">
            <v>LSO/07/25-26</v>
          </cell>
          <cell r="B10">
            <v>46001</v>
          </cell>
        </row>
        <row r="11">
          <cell r="A11" t="str">
            <v>LSO/09/25-26</v>
          </cell>
          <cell r="B11">
            <v>46001</v>
          </cell>
        </row>
        <row r="12">
          <cell r="A12" t="str">
            <v>LSO/10/25-26</v>
          </cell>
          <cell r="B12">
            <v>46001</v>
          </cell>
        </row>
        <row r="13">
          <cell r="A13" t="str">
            <v>LSO/13/25-26</v>
          </cell>
          <cell r="B13">
            <v>46001</v>
          </cell>
        </row>
        <row r="14">
          <cell r="A14" t="str">
            <v>LSO/18/25-26</v>
          </cell>
          <cell r="B14">
            <v>46010</v>
          </cell>
        </row>
        <row r="15">
          <cell r="A15" t="str">
            <v>LSO/24/25-26</v>
          </cell>
          <cell r="B15">
            <v>46010</v>
          </cell>
        </row>
        <row r="16">
          <cell r="A16" t="str">
            <v>LSO/21/25-26</v>
          </cell>
          <cell r="B16">
            <v>46010</v>
          </cell>
        </row>
        <row r="17">
          <cell r="A17" t="str">
            <v>LSO/27/25-26</v>
          </cell>
          <cell r="B17">
            <v>46010</v>
          </cell>
        </row>
        <row r="18">
          <cell r="A18" t="str">
            <v>LSO/28/25-26</v>
          </cell>
          <cell r="B18">
            <v>46010</v>
          </cell>
        </row>
        <row r="19">
          <cell r="A19" t="str">
            <v>LSO/29/25-26</v>
          </cell>
          <cell r="B19">
            <v>46010</v>
          </cell>
        </row>
        <row r="20">
          <cell r="A20" t="str">
            <v>LSO/35/25-26</v>
          </cell>
          <cell r="B20">
            <v>46013</v>
          </cell>
        </row>
        <row r="21">
          <cell r="A21" t="str">
            <v>LSO/33/25-26</v>
          </cell>
          <cell r="B21">
            <v>46013</v>
          </cell>
        </row>
        <row r="22">
          <cell r="A22" t="str">
            <v>LSO/034/25-26</v>
          </cell>
          <cell r="B22">
            <v>46014</v>
          </cell>
        </row>
        <row r="23">
          <cell r="A23" t="str">
            <v>LSO/37/25-26</v>
          </cell>
          <cell r="B23">
            <v>46021</v>
          </cell>
        </row>
        <row r="24">
          <cell r="A24" t="str">
            <v>LSO/43/25-26</v>
          </cell>
          <cell r="B24">
            <v>46021</v>
          </cell>
        </row>
        <row r="25">
          <cell r="A25" t="str">
            <v>LSO/42/25-26</v>
          </cell>
          <cell r="B25">
            <v>46022</v>
          </cell>
        </row>
        <row r="26">
          <cell r="A26" t="str">
            <v>LSO/44/25-26</v>
          </cell>
          <cell r="B26">
            <v>46022</v>
          </cell>
        </row>
        <row r="27">
          <cell r="A27" t="str">
            <v>LSO/47/25-26</v>
          </cell>
          <cell r="B27">
            <v>46029</v>
          </cell>
        </row>
        <row r="28">
          <cell r="A28" t="str">
            <v>LSO/45/25-26</v>
          </cell>
          <cell r="B28">
            <v>46031</v>
          </cell>
        </row>
        <row r="29">
          <cell r="A29" t="str">
            <v>LSO/46/25-26</v>
          </cell>
          <cell r="B29">
            <v>46031</v>
          </cell>
        </row>
        <row r="30">
          <cell r="A30" t="str">
            <v>LSO/48/25-26</v>
          </cell>
          <cell r="B30">
            <v>46031</v>
          </cell>
        </row>
        <row r="31">
          <cell r="A31" t="str">
            <v>LSO/40/25-26</v>
          </cell>
          <cell r="B31">
            <v>46039</v>
          </cell>
        </row>
        <row r="32">
          <cell r="A32" t="str">
            <v>LSO/57/25-26</v>
          </cell>
          <cell r="B32">
            <v>46041</v>
          </cell>
        </row>
        <row r="33">
          <cell r="A33" t="str">
            <v>LSO/49/25-26</v>
          </cell>
          <cell r="B33">
            <v>46042</v>
          </cell>
        </row>
        <row r="34">
          <cell r="A34" t="str">
            <v>LSO/50/25-26</v>
          </cell>
          <cell r="B34">
            <v>46042</v>
          </cell>
        </row>
        <row r="35">
          <cell r="A35" t="str">
            <v>LSO/51/25-26</v>
          </cell>
          <cell r="B35">
            <v>46042</v>
          </cell>
        </row>
        <row r="36">
          <cell r="A36" t="str">
            <v>LSO/58/25-26</v>
          </cell>
          <cell r="B36">
            <v>46052</v>
          </cell>
        </row>
        <row r="37">
          <cell r="A37" t="str">
            <v>LSO/59/25-26</v>
          </cell>
          <cell r="B37">
            <v>46052</v>
          </cell>
        </row>
        <row r="38">
          <cell r="A38" t="str">
            <v>LSO/60/25-26</v>
          </cell>
          <cell r="B38">
            <v>46052</v>
          </cell>
        </row>
        <row r="39">
          <cell r="A39" t="str">
            <v>LSO/64/25-26</v>
          </cell>
          <cell r="B39">
            <v>46052</v>
          </cell>
        </row>
        <row r="40">
          <cell r="A40" t="str">
            <v>LSO/72/25-26</v>
          </cell>
          <cell r="B40">
            <v>46059</v>
          </cell>
        </row>
        <row r="41">
          <cell r="A41" t="str">
            <v>LSO/08/25-26</v>
          </cell>
          <cell r="B41">
            <v>46059</v>
          </cell>
        </row>
        <row r="42">
          <cell r="A42" t="str">
            <v>LSO/15/25-26</v>
          </cell>
          <cell r="B42">
            <v>46059</v>
          </cell>
        </row>
        <row r="43">
          <cell r="A43" t="str">
            <v>LSO/11/25-26</v>
          </cell>
          <cell r="B43">
            <v>46059</v>
          </cell>
        </row>
        <row r="44">
          <cell r="A44" t="str">
            <v>LSO/12/25-26</v>
          </cell>
          <cell r="B44">
            <v>46059</v>
          </cell>
        </row>
        <row r="45">
          <cell r="A45" t="str">
            <v>LSO/14/25-26</v>
          </cell>
          <cell r="B45">
            <v>46059</v>
          </cell>
        </row>
        <row r="46">
          <cell r="A46" t="str">
            <v>LSO/15/25-26</v>
          </cell>
          <cell r="B46">
            <v>46059</v>
          </cell>
        </row>
        <row r="47">
          <cell r="A47" t="str">
            <v>LSO/16/25-26</v>
          </cell>
          <cell r="B47">
            <v>46062</v>
          </cell>
        </row>
        <row r="48">
          <cell r="A48" t="str">
            <v>LSO/17/25-26</v>
          </cell>
          <cell r="B48">
            <v>46062</v>
          </cell>
        </row>
        <row r="49">
          <cell r="A49" t="str">
            <v>LSO/15/25-26</v>
          </cell>
          <cell r="B49">
            <v>46062</v>
          </cell>
        </row>
        <row r="50">
          <cell r="A50" t="str">
            <v>LSO/73/25-26</v>
          </cell>
          <cell r="B50">
            <v>46063</v>
          </cell>
        </row>
        <row r="51">
          <cell r="A51" t="str">
            <v>LSO/76/25-26</v>
          </cell>
          <cell r="B51">
            <v>46063</v>
          </cell>
        </row>
        <row r="52">
          <cell r="A52" t="str">
            <v>LSO/78/25-26</v>
          </cell>
          <cell r="B52">
            <v>46063</v>
          </cell>
        </row>
        <row r="53">
          <cell r="A53" t="str">
            <v>LSO/66/25-26</v>
          </cell>
          <cell r="B53">
            <v>46063</v>
          </cell>
        </row>
        <row r="54">
          <cell r="A54" t="str">
            <v>LSO/80/25-26</v>
          </cell>
          <cell r="B54">
            <v>46065</v>
          </cell>
        </row>
        <row r="55">
          <cell r="A55" t="str">
            <v>LSO/54/25-26</v>
          </cell>
          <cell r="B55">
            <v>46065</v>
          </cell>
        </row>
        <row r="56">
          <cell r="A56" t="str">
            <v>LSO/56/25-26</v>
          </cell>
          <cell r="B56">
            <v>46069</v>
          </cell>
        </row>
        <row r="57">
          <cell r="A57" t="str">
            <v>LSO/83/25-26</v>
          </cell>
          <cell r="B57">
            <v>46073</v>
          </cell>
        </row>
        <row r="58">
          <cell r="A58" t="str">
            <v>LSO/62/25-26</v>
          </cell>
          <cell r="B58">
            <v>46073</v>
          </cell>
        </row>
        <row r="59">
          <cell r="A59" t="str">
            <v>LSO/63/25-26</v>
          </cell>
          <cell r="B59">
            <v>46074</v>
          </cell>
        </row>
        <row r="60">
          <cell r="A60" t="str">
            <v>LSO/41/25-26</v>
          </cell>
          <cell r="B60">
            <v>46074</v>
          </cell>
        </row>
        <row r="61">
          <cell r="A61" t="str">
            <v>LSO/88/25-26</v>
          </cell>
          <cell r="B61">
            <v>46085</v>
          </cell>
        </row>
        <row r="62">
          <cell r="A62" t="str">
            <v>LSO/93/25-26</v>
          </cell>
          <cell r="B62">
            <v>46085</v>
          </cell>
        </row>
        <row r="63">
          <cell r="A63" t="str">
            <v>LSO/84/25-26</v>
          </cell>
          <cell r="B63">
            <v>46085</v>
          </cell>
        </row>
        <row r="64">
          <cell r="A64" t="str">
            <v>LSO/89/25-26</v>
          </cell>
          <cell r="B64">
            <v>46085</v>
          </cell>
        </row>
        <row r="65">
          <cell r="A65" t="str">
            <v>LSO/92/25-26</v>
          </cell>
          <cell r="B65">
            <v>46085</v>
          </cell>
        </row>
        <row r="66">
          <cell r="A66" t="str">
            <v>LSO/94/25-26</v>
          </cell>
          <cell r="B66">
            <v>46085</v>
          </cell>
        </row>
        <row r="67">
          <cell r="A67" t="str">
            <v>LSO/23/25-26</v>
          </cell>
          <cell r="B67">
            <v>46087</v>
          </cell>
        </row>
        <row r="68">
          <cell r="A68" t="str">
            <v>LSO/25/25-26</v>
          </cell>
          <cell r="B68">
            <v>46087</v>
          </cell>
        </row>
        <row r="69">
          <cell r="A69" t="str">
            <v>LSO/26/25-26</v>
          </cell>
          <cell r="B69">
            <v>46087</v>
          </cell>
        </row>
        <row r="70">
          <cell r="A70" t="str">
            <v>LSO/30/25-26</v>
          </cell>
          <cell r="B70">
            <v>46090</v>
          </cell>
        </row>
        <row r="71">
          <cell r="A71" t="str">
            <v>LSO/31/25-26</v>
          </cell>
          <cell r="B71">
            <v>46090</v>
          </cell>
        </row>
        <row r="72">
          <cell r="A72" t="str">
            <v>LSO/32/25-26</v>
          </cell>
          <cell r="B72">
            <v>46090</v>
          </cell>
        </row>
        <row r="73">
          <cell r="A73" t="str">
            <v>LSO/19/25-26</v>
          </cell>
          <cell r="B73">
            <v>46090</v>
          </cell>
        </row>
        <row r="74">
          <cell r="A74" t="str">
            <v>LSO/20/25-26</v>
          </cell>
          <cell r="B74">
            <v>46090</v>
          </cell>
        </row>
        <row r="75">
          <cell r="A75" t="str">
            <v>LSO/101/25-26</v>
          </cell>
          <cell r="B75">
            <v>46090</v>
          </cell>
        </row>
        <row r="76">
          <cell r="A76" t="str">
            <v>LSO/100/25-26</v>
          </cell>
          <cell r="B76">
            <v>46090</v>
          </cell>
        </row>
        <row r="77">
          <cell r="A77" t="str">
            <v>LSO/96/25-26</v>
          </cell>
          <cell r="B77">
            <v>46090</v>
          </cell>
        </row>
        <row r="78">
          <cell r="A78" t="str">
            <v>LS/103/25-26</v>
          </cell>
          <cell r="B78">
            <v>46090</v>
          </cell>
        </row>
        <row r="79">
          <cell r="A79" t="str">
            <v>LSO/13/25-26</v>
          </cell>
          <cell r="B79">
            <v>46090</v>
          </cell>
        </row>
        <row r="80">
          <cell r="A80" t="str">
            <v>LS/107/25-26</v>
          </cell>
          <cell r="B80">
            <v>46090</v>
          </cell>
        </row>
        <row r="81">
          <cell r="A81" t="str">
            <v>LS/119/25-26</v>
          </cell>
          <cell r="B81">
            <v>46090</v>
          </cell>
        </row>
        <row r="82">
          <cell r="A82" t="str">
            <v>LS/127/25-26</v>
          </cell>
          <cell r="B82">
            <v>46090</v>
          </cell>
        </row>
        <row r="83">
          <cell r="A83" t="str">
            <v>LS/136/25-26</v>
          </cell>
          <cell r="B83">
            <v>46090</v>
          </cell>
        </row>
        <row r="84">
          <cell r="A84" t="str">
            <v>LSO/29/25-26</v>
          </cell>
          <cell r="B84">
            <v>46090</v>
          </cell>
        </row>
        <row r="85">
          <cell r="A85" t="str">
            <v>LSO/43/25-26</v>
          </cell>
          <cell r="B85">
            <v>46090</v>
          </cell>
        </row>
        <row r="86">
          <cell r="A86" t="str">
            <v>LSO/48/25-26</v>
          </cell>
          <cell r="B86">
            <v>46090</v>
          </cell>
        </row>
        <row r="87">
          <cell r="A87" t="str">
            <v>LSO/51/25-26</v>
          </cell>
          <cell r="B87">
            <v>46090</v>
          </cell>
        </row>
        <row r="88">
          <cell r="A88" t="str">
            <v>LSO/64/25-26</v>
          </cell>
          <cell r="B88">
            <v>46090</v>
          </cell>
        </row>
        <row r="89">
          <cell r="A89" t="str">
            <v>LSO/66/25-26</v>
          </cell>
          <cell r="B89">
            <v>46090</v>
          </cell>
        </row>
        <row r="90">
          <cell r="A90" t="str">
            <v>LSO/83/25-26</v>
          </cell>
          <cell r="B90">
            <v>46090</v>
          </cell>
        </row>
        <row r="91">
          <cell r="A91" t="str">
            <v>LSO/92/25-26</v>
          </cell>
          <cell r="B91">
            <v>46090</v>
          </cell>
        </row>
        <row r="92">
          <cell r="A92" t="str">
            <v>LSO/97/25-26</v>
          </cell>
          <cell r="B92">
            <v>46090</v>
          </cell>
        </row>
        <row r="93">
          <cell r="A93" t="str">
            <v>LSO/95/25-26</v>
          </cell>
          <cell r="B93">
            <v>46090</v>
          </cell>
        </row>
        <row r="94">
          <cell r="A94" t="str">
            <v>LSO/98/25-26</v>
          </cell>
          <cell r="B94">
            <v>46099</v>
          </cell>
        </row>
        <row r="95">
          <cell r="A95" t="str">
            <v>LSO/38/25-26</v>
          </cell>
          <cell r="B95">
            <v>46101</v>
          </cell>
        </row>
        <row r="96">
          <cell r="A96" t="str">
            <v>LSO/39/25-26</v>
          </cell>
          <cell r="B96">
            <v>46101</v>
          </cell>
        </row>
        <row r="97">
          <cell r="A97" t="str">
            <v>LSO/52/25-26</v>
          </cell>
          <cell r="B97">
            <v>46101</v>
          </cell>
        </row>
        <row r="98">
          <cell r="A98" t="str">
            <v>LSO/36/25-26</v>
          </cell>
          <cell r="B98">
            <v>46101</v>
          </cell>
        </row>
        <row r="99">
          <cell r="A99" t="str">
            <v>LSO/53/25-26</v>
          </cell>
          <cell r="B99">
            <v>46101</v>
          </cell>
        </row>
        <row r="100">
          <cell r="A100" t="str">
            <v>LSO/102/25-26</v>
          </cell>
          <cell r="B100">
            <v>46101</v>
          </cell>
        </row>
        <row r="101">
          <cell r="A101" t="str">
            <v>LSO/103/25-26</v>
          </cell>
          <cell r="B101">
            <v>46101</v>
          </cell>
        </row>
        <row r="102">
          <cell r="A102" t="str">
            <v>LSO/104/25-26</v>
          </cell>
          <cell r="B102">
            <v>46101</v>
          </cell>
        </row>
        <row r="103">
          <cell r="A103" t="str">
            <v>LSO/106/25-26</v>
          </cell>
          <cell r="B103">
            <v>46101</v>
          </cell>
        </row>
        <row r="104">
          <cell r="A104" t="str">
            <v>LSO/107/25-26</v>
          </cell>
          <cell r="B104">
            <v>46101</v>
          </cell>
        </row>
        <row r="105">
          <cell r="A105" t="str">
            <v>LSO/108/25-26</v>
          </cell>
          <cell r="B105">
            <v>46101</v>
          </cell>
        </row>
        <row r="106">
          <cell r="A106" t="str">
            <v>LSO/110/25-26</v>
          </cell>
          <cell r="B106">
            <v>46101</v>
          </cell>
        </row>
        <row r="107">
          <cell r="A107" t="str">
            <v>LSO/112/25-26</v>
          </cell>
          <cell r="B107">
            <v>46101</v>
          </cell>
        </row>
        <row r="108">
          <cell r="A108" t="str">
            <v>LSO/114/25-26</v>
          </cell>
          <cell r="B108">
            <v>46101</v>
          </cell>
        </row>
        <row r="109">
          <cell r="A109" t="str">
            <v>LSO/85/25-26</v>
          </cell>
          <cell r="B109">
            <v>46101</v>
          </cell>
        </row>
        <row r="110">
          <cell r="A110" t="str">
            <v>LSO/90/25-26</v>
          </cell>
          <cell r="B110">
            <v>46104</v>
          </cell>
        </row>
        <row r="111">
          <cell r="A111" t="str">
            <v>LSO/74/25-26</v>
          </cell>
          <cell r="B111">
            <v>46106</v>
          </cell>
        </row>
        <row r="112">
          <cell r="A112" t="str">
            <v>LSO/70/25-26</v>
          </cell>
          <cell r="B112">
            <v>46106</v>
          </cell>
        </row>
        <row r="113">
          <cell r="A113" t="str">
            <v>LSO/79/25-26</v>
          </cell>
          <cell r="B113">
            <v>46106</v>
          </cell>
        </row>
        <row r="114">
          <cell r="A114" t="str">
            <v>LSO/61/25-26</v>
          </cell>
          <cell r="B114">
            <v>46106</v>
          </cell>
        </row>
        <row r="115">
          <cell r="A115" t="str">
            <v>LSO/86/25-26</v>
          </cell>
          <cell r="B115">
            <v>46106</v>
          </cell>
        </row>
        <row r="116">
          <cell r="A116" t="str">
            <v>LSO/69/25-26</v>
          </cell>
          <cell r="B116">
            <v>46108</v>
          </cell>
        </row>
        <row r="117">
          <cell r="A117" t="str">
            <v>LSO/55/25-26</v>
          </cell>
          <cell r="B117">
            <v>46108</v>
          </cell>
        </row>
        <row r="118">
          <cell r="A118" t="str">
            <v>LSO/65/25-26</v>
          </cell>
          <cell r="B118">
            <v>46108</v>
          </cell>
        </row>
        <row r="119">
          <cell r="A119" t="str">
            <v>LSO/68/25-26</v>
          </cell>
          <cell r="B119">
            <v>46108</v>
          </cell>
        </row>
        <row r="120">
          <cell r="A120" t="str">
            <v>LSO/71/25-26</v>
          </cell>
          <cell r="B120">
            <v>46108</v>
          </cell>
        </row>
        <row r="121">
          <cell r="A121" t="str">
            <v>LSO/75/25-26</v>
          </cell>
          <cell r="B121">
            <v>46108</v>
          </cell>
        </row>
        <row r="122">
          <cell r="A122" t="str">
            <v>LSO/77/25-26</v>
          </cell>
          <cell r="B122">
            <v>46108</v>
          </cell>
        </row>
        <row r="123">
          <cell r="A123" t="str">
            <v>LSO/81/25-26</v>
          </cell>
          <cell r="B123">
            <v>46108</v>
          </cell>
        </row>
        <row r="124">
          <cell r="A124" t="str">
            <v>LSO/114/25-26</v>
          </cell>
          <cell r="B124">
            <v>46111</v>
          </cell>
        </row>
        <row r="125">
          <cell r="A125" t="str">
            <v>LSO/117/25-26</v>
          </cell>
          <cell r="B125">
            <v>46111</v>
          </cell>
        </row>
        <row r="126">
          <cell r="A126" t="str">
            <v>LSO/118/25-26</v>
          </cell>
          <cell r="B126">
            <v>46111</v>
          </cell>
        </row>
        <row r="127">
          <cell r="A127" t="str">
            <v>LSO/119/25-26</v>
          </cell>
          <cell r="B127">
            <v>46111</v>
          </cell>
        </row>
        <row r="128">
          <cell r="A128" t="str">
            <v>LSO/120/25-26</v>
          </cell>
          <cell r="B128">
            <v>46111</v>
          </cell>
        </row>
        <row r="129">
          <cell r="A129" t="str">
            <v>LSO/122/25-26</v>
          </cell>
          <cell r="B129">
            <v>46111</v>
          </cell>
        </row>
        <row r="130">
          <cell r="A130" t="str">
            <v>LSO/123/25-26</v>
          </cell>
          <cell r="B130">
            <v>46111</v>
          </cell>
        </row>
        <row r="131">
          <cell r="A131" t="str">
            <v>LSO/124/25-26</v>
          </cell>
          <cell r="B131">
            <v>46111</v>
          </cell>
        </row>
        <row r="132">
          <cell r="A132" t="str">
            <v>LSO/125/25-26</v>
          </cell>
          <cell r="B132">
            <v>46111</v>
          </cell>
        </row>
        <row r="133">
          <cell r="A133" t="str">
            <v>LSO/99/25-26</v>
          </cell>
          <cell r="B133">
            <v>46113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"/>
  <sheetViews>
    <sheetView tabSelected="1" topLeftCell="A276" workbookViewId="0">
      <selection activeCell="C306" sqref="C306"/>
    </sheetView>
  </sheetViews>
  <sheetFormatPr defaultRowHeight="15" x14ac:dyDescent="0.25"/>
  <cols>
    <col min="1" max="1" width="10.42578125" style="15" bestFit="1" customWidth="1"/>
    <col min="2" max="2" width="17.7109375" style="20" bestFit="1" customWidth="1"/>
    <col min="3" max="3" width="28.85546875" style="27" bestFit="1" customWidth="1"/>
    <col min="4" max="4" width="61.85546875" bestFit="1" customWidth="1"/>
    <col min="5" max="5" width="12" bestFit="1" customWidth="1"/>
    <col min="6" max="6" width="6.42578125" bestFit="1" customWidth="1"/>
    <col min="7" max="7" width="14" bestFit="1" customWidth="1"/>
    <col min="8" max="8" width="10.85546875" bestFit="1" customWidth="1"/>
    <col min="9" max="9" width="18" style="15" bestFit="1" customWidth="1"/>
  </cols>
  <sheetData>
    <row r="1" spans="1:9" ht="15.75" x14ac:dyDescent="0.25">
      <c r="A1" s="16" t="s">
        <v>0</v>
      </c>
      <c r="B1" s="17" t="s">
        <v>1</v>
      </c>
      <c r="C1" s="2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318</v>
      </c>
    </row>
    <row r="2" spans="1:9" x14ac:dyDescent="0.25">
      <c r="A2" s="2">
        <v>45588.541666666664</v>
      </c>
      <c r="B2" s="18">
        <v>1729668604421</v>
      </c>
      <c r="C2" s="25" t="s">
        <v>8</v>
      </c>
      <c r="D2" s="3" t="s">
        <v>9</v>
      </c>
      <c r="E2" s="3" t="s">
        <v>10</v>
      </c>
      <c r="F2" s="3">
        <v>5</v>
      </c>
      <c r="G2" s="4">
        <v>5.15</v>
      </c>
      <c r="H2" s="4">
        <v>790.9</v>
      </c>
      <c r="I2" s="2">
        <v>45685</v>
      </c>
    </row>
    <row r="3" spans="1:9" x14ac:dyDescent="0.25">
      <c r="A3" s="2">
        <v>45614.720833333333</v>
      </c>
      <c r="B3" s="18">
        <v>1731930534609</v>
      </c>
      <c r="C3" s="25" t="s">
        <v>11</v>
      </c>
      <c r="D3" s="3" t="s">
        <v>9</v>
      </c>
      <c r="E3" s="3" t="s">
        <v>10</v>
      </c>
      <c r="F3" s="3">
        <v>7</v>
      </c>
      <c r="G3" s="4">
        <v>13.7</v>
      </c>
      <c r="H3" s="4">
        <v>1662.85</v>
      </c>
      <c r="I3" s="2">
        <v>45685</v>
      </c>
    </row>
    <row r="4" spans="1:9" x14ac:dyDescent="0.25">
      <c r="A4" s="2">
        <v>45615.74722222222</v>
      </c>
      <c r="B4" s="18">
        <v>1732019203209</v>
      </c>
      <c r="C4" s="25" t="s">
        <v>12</v>
      </c>
      <c r="D4" s="3" t="s">
        <v>9</v>
      </c>
      <c r="E4" s="3" t="s">
        <v>10</v>
      </c>
      <c r="F4" s="3">
        <v>7</v>
      </c>
      <c r="G4" s="4">
        <v>13.07</v>
      </c>
      <c r="H4" s="4">
        <v>1752.74</v>
      </c>
      <c r="I4" s="2">
        <v>45685</v>
      </c>
    </row>
    <row r="5" spans="1:9" x14ac:dyDescent="0.25">
      <c r="A5" s="2">
        <v>45615.750694444447</v>
      </c>
      <c r="B5" s="18">
        <v>1732019508132</v>
      </c>
      <c r="C5" s="25" t="s">
        <v>13</v>
      </c>
      <c r="D5" s="3" t="s">
        <v>9</v>
      </c>
      <c r="E5" s="3" t="s">
        <v>10</v>
      </c>
      <c r="F5" s="3">
        <v>6</v>
      </c>
      <c r="G5" s="4">
        <v>16.62</v>
      </c>
      <c r="H5" s="4">
        <v>2350.14</v>
      </c>
      <c r="I5" s="2">
        <v>45685</v>
      </c>
    </row>
    <row r="6" spans="1:9" x14ac:dyDescent="0.25">
      <c r="A6" s="2">
        <v>45665.506249999999</v>
      </c>
      <c r="B6" s="18">
        <v>1736318381791</v>
      </c>
      <c r="C6" s="25" t="s">
        <v>14</v>
      </c>
      <c r="D6" s="3" t="s">
        <v>9</v>
      </c>
      <c r="E6" s="3" t="s">
        <v>10</v>
      </c>
      <c r="F6" s="3">
        <v>23</v>
      </c>
      <c r="G6" s="4">
        <v>32.979999999999997</v>
      </c>
      <c r="H6" s="4">
        <v>5136.3599999999997</v>
      </c>
      <c r="I6" s="2">
        <v>45685</v>
      </c>
    </row>
    <row r="7" spans="1:9" x14ac:dyDescent="0.25">
      <c r="A7" s="2">
        <v>45700.45416666667</v>
      </c>
      <c r="B7" s="18">
        <v>1739337886632</v>
      </c>
      <c r="C7" s="25" t="s">
        <v>15</v>
      </c>
      <c r="D7" s="3" t="s">
        <v>9</v>
      </c>
      <c r="E7" s="3" t="s">
        <v>10</v>
      </c>
      <c r="F7" s="3">
        <v>35</v>
      </c>
      <c r="G7" s="4">
        <v>66.05</v>
      </c>
      <c r="H7" s="4">
        <v>8277.42</v>
      </c>
      <c r="I7" s="2">
        <v>45447</v>
      </c>
    </row>
    <row r="8" spans="1:9" x14ac:dyDescent="0.25">
      <c r="A8" s="2">
        <v>45723.430555555555</v>
      </c>
      <c r="B8" s="18">
        <v>1741323056210</v>
      </c>
      <c r="C8" s="25" t="s">
        <v>16</v>
      </c>
      <c r="D8" s="3" t="s">
        <v>9</v>
      </c>
      <c r="E8" s="3" t="s">
        <v>10</v>
      </c>
      <c r="F8" s="3">
        <v>38</v>
      </c>
      <c r="G8" s="4">
        <v>70.38</v>
      </c>
      <c r="H8" s="4">
        <v>6961.3</v>
      </c>
      <c r="I8" s="2">
        <v>45615</v>
      </c>
    </row>
    <row r="9" spans="1:9" x14ac:dyDescent="0.25">
      <c r="A9" s="2">
        <v>45726.621527777781</v>
      </c>
      <c r="B9" s="18">
        <v>1741598725065</v>
      </c>
      <c r="C9" s="25" t="s">
        <v>17</v>
      </c>
      <c r="D9" s="3" t="s">
        <v>9</v>
      </c>
      <c r="E9" s="3" t="s">
        <v>10</v>
      </c>
      <c r="F9" s="3">
        <v>4</v>
      </c>
      <c r="G9" s="4">
        <v>6.04</v>
      </c>
      <c r="H9" s="4">
        <v>710.78</v>
      </c>
      <c r="I9" s="2">
        <v>45812</v>
      </c>
    </row>
    <row r="10" spans="1:9" x14ac:dyDescent="0.25">
      <c r="A10" s="2">
        <v>45727.681250000001</v>
      </c>
      <c r="B10" s="19">
        <v>1741690274199</v>
      </c>
      <c r="C10" s="25" t="s">
        <v>18</v>
      </c>
      <c r="D10" s="3" t="s">
        <v>9</v>
      </c>
      <c r="E10" s="3" t="s">
        <v>10</v>
      </c>
      <c r="F10" s="3">
        <v>3</v>
      </c>
      <c r="G10" s="4">
        <v>4.57</v>
      </c>
      <c r="H10" s="4">
        <v>545.04</v>
      </c>
      <c r="I10" s="2">
        <v>45812</v>
      </c>
    </row>
    <row r="11" spans="1:9" x14ac:dyDescent="0.25">
      <c r="A11" s="2">
        <v>45734.602777777778</v>
      </c>
      <c r="B11" s="18">
        <v>1742288293842</v>
      </c>
      <c r="C11" s="25" t="s">
        <v>19</v>
      </c>
      <c r="D11" s="5" t="s">
        <v>20</v>
      </c>
      <c r="E11" s="3" t="s">
        <v>10</v>
      </c>
      <c r="F11" s="3">
        <v>23</v>
      </c>
      <c r="G11" s="4">
        <v>28.49</v>
      </c>
      <c r="H11" s="4">
        <v>3325.5</v>
      </c>
      <c r="I11" s="2">
        <f>++VLOOKUP(C11,'[1]Receipt Register'!$A$2:$B$133,2,FALSE)</f>
        <v>45756</v>
      </c>
    </row>
    <row r="12" spans="1:9" x14ac:dyDescent="0.25">
      <c r="A12" s="2">
        <v>45745.520138888889</v>
      </c>
      <c r="B12" s="18">
        <v>1743231559557</v>
      </c>
      <c r="C12" s="25" t="s">
        <v>21</v>
      </c>
      <c r="D12" s="5" t="s">
        <v>20</v>
      </c>
      <c r="E12" s="3" t="s">
        <v>10</v>
      </c>
      <c r="F12" s="3">
        <v>2</v>
      </c>
      <c r="G12" s="4">
        <v>2.57</v>
      </c>
      <c r="H12" s="4">
        <v>299.98</v>
      </c>
      <c r="I12" s="2">
        <f>++VLOOKUP(C12,'[1]Receipt Register'!$A$2:$B$133,2,FALSE)</f>
        <v>45756</v>
      </c>
    </row>
    <row r="13" spans="1:9" x14ac:dyDescent="0.25">
      <c r="A13" s="2">
        <v>45750.706250000003</v>
      </c>
      <c r="B13" s="19">
        <v>1743679647654</v>
      </c>
      <c r="C13" s="25" t="s">
        <v>22</v>
      </c>
      <c r="D13" s="3" t="s">
        <v>9</v>
      </c>
      <c r="E13" s="3" t="s">
        <v>10</v>
      </c>
      <c r="F13" s="3">
        <v>8</v>
      </c>
      <c r="G13" s="4">
        <v>13.07</v>
      </c>
      <c r="H13" s="4">
        <v>1405.36</v>
      </c>
      <c r="I13" s="2">
        <v>45644</v>
      </c>
    </row>
    <row r="14" spans="1:9" x14ac:dyDescent="0.25">
      <c r="A14" s="2">
        <v>45752.602777777778</v>
      </c>
      <c r="B14" s="18">
        <v>1743843534712</v>
      </c>
      <c r="C14" s="25" t="s">
        <v>23</v>
      </c>
      <c r="D14" s="3" t="s">
        <v>9</v>
      </c>
      <c r="E14" s="3" t="s">
        <v>10</v>
      </c>
      <c r="F14" s="3">
        <v>6</v>
      </c>
      <c r="G14" s="4">
        <v>10.35</v>
      </c>
      <c r="H14" s="4">
        <v>1218.43</v>
      </c>
      <c r="I14" s="2">
        <v>45615</v>
      </c>
    </row>
    <row r="15" spans="1:9" x14ac:dyDescent="0.25">
      <c r="A15" s="2">
        <v>45789.461111111108</v>
      </c>
      <c r="B15" s="18">
        <v>1747028044742</v>
      </c>
      <c r="C15" s="25" t="s">
        <v>24</v>
      </c>
      <c r="D15" s="3" t="s">
        <v>9</v>
      </c>
      <c r="E15" s="3" t="s">
        <v>10</v>
      </c>
      <c r="F15" s="3">
        <v>7</v>
      </c>
      <c r="G15" s="4">
        <v>3.87</v>
      </c>
      <c r="H15" s="4">
        <v>441.15</v>
      </c>
      <c r="I15" s="2">
        <v>45812</v>
      </c>
    </row>
    <row r="16" spans="1:9" x14ac:dyDescent="0.25">
      <c r="A16" s="2">
        <v>45818.506249999999</v>
      </c>
      <c r="B16" s="18">
        <v>1749537554482</v>
      </c>
      <c r="C16" s="25" t="s">
        <v>25</v>
      </c>
      <c r="D16" s="3" t="s">
        <v>9</v>
      </c>
      <c r="E16" s="3" t="s">
        <v>26</v>
      </c>
      <c r="F16" s="3">
        <v>10703</v>
      </c>
      <c r="G16" s="4">
        <v>1273.48</v>
      </c>
      <c r="H16" s="4">
        <v>71653.39</v>
      </c>
      <c r="I16" s="2">
        <v>45839</v>
      </c>
    </row>
    <row r="17" spans="1:9" x14ac:dyDescent="0.25">
      <c r="A17" s="2">
        <v>45826.444444444445</v>
      </c>
      <c r="B17" s="18">
        <v>1750178523726</v>
      </c>
      <c r="C17" s="25" t="s">
        <v>27</v>
      </c>
      <c r="D17" s="5" t="s">
        <v>28</v>
      </c>
      <c r="E17" s="3" t="s">
        <v>10</v>
      </c>
      <c r="F17" s="3">
        <v>14</v>
      </c>
      <c r="G17" s="4">
        <v>23.21</v>
      </c>
      <c r="H17" s="4">
        <v>2808.47</v>
      </c>
      <c r="I17" s="2">
        <v>45939</v>
      </c>
    </row>
    <row r="18" spans="1:9" x14ac:dyDescent="0.25">
      <c r="A18" s="2">
        <v>45827.470833333333</v>
      </c>
      <c r="B18" s="18">
        <v>1750312087555</v>
      </c>
      <c r="C18" s="25" t="s">
        <v>29</v>
      </c>
      <c r="D18" s="5" t="s">
        <v>28</v>
      </c>
      <c r="E18" s="3" t="s">
        <v>10</v>
      </c>
      <c r="F18" s="3">
        <v>1</v>
      </c>
      <c r="G18" s="4">
        <v>0.75</v>
      </c>
      <c r="H18" s="4">
        <v>165</v>
      </c>
      <c r="I18" s="2">
        <v>45939</v>
      </c>
    </row>
    <row r="19" spans="1:9" x14ac:dyDescent="0.25">
      <c r="A19" s="2">
        <v>45827.54791666667</v>
      </c>
      <c r="B19" s="18">
        <v>1750318754696</v>
      </c>
      <c r="C19" s="25" t="s">
        <v>30</v>
      </c>
      <c r="D19" s="3" t="s">
        <v>9</v>
      </c>
      <c r="E19" s="3" t="s">
        <v>26</v>
      </c>
      <c r="F19" s="3">
        <v>5325</v>
      </c>
      <c r="G19" s="4">
        <v>963.38</v>
      </c>
      <c r="H19" s="4">
        <v>76368.259999999995</v>
      </c>
      <c r="I19" s="2">
        <v>45848</v>
      </c>
    </row>
    <row r="20" spans="1:9" x14ac:dyDescent="0.25">
      <c r="A20" s="2">
        <v>45836.51666666667</v>
      </c>
      <c r="B20" s="18">
        <v>1751093681038</v>
      </c>
      <c r="C20" s="25" t="s">
        <v>31</v>
      </c>
      <c r="D20" s="3" t="s">
        <v>9</v>
      </c>
      <c r="E20" s="3" t="s">
        <v>10</v>
      </c>
      <c r="F20" s="3">
        <v>64</v>
      </c>
      <c r="G20" s="4">
        <v>145.71</v>
      </c>
      <c r="H20" s="4">
        <v>21356.01</v>
      </c>
      <c r="I20" s="2">
        <v>45855</v>
      </c>
    </row>
    <row r="21" spans="1:9" x14ac:dyDescent="0.25">
      <c r="A21" s="2">
        <v>45836.519444444442</v>
      </c>
      <c r="B21" s="18">
        <v>1751093892666</v>
      </c>
      <c r="C21" s="25" t="s">
        <v>32</v>
      </c>
      <c r="D21" s="3" t="s">
        <v>9</v>
      </c>
      <c r="E21" s="3" t="s">
        <v>26</v>
      </c>
      <c r="F21" s="3">
        <v>5203</v>
      </c>
      <c r="G21" s="4">
        <v>539.30999999999995</v>
      </c>
      <c r="H21" s="4">
        <v>43406.36</v>
      </c>
      <c r="I21" s="2">
        <v>45855</v>
      </c>
    </row>
    <row r="22" spans="1:9" x14ac:dyDescent="0.25">
      <c r="A22" s="2">
        <v>45838.769444444442</v>
      </c>
      <c r="B22" s="18">
        <v>1751288289764</v>
      </c>
      <c r="C22" s="25" t="s">
        <v>33</v>
      </c>
      <c r="D22" s="3" t="s">
        <v>9</v>
      </c>
      <c r="E22" s="3" t="s">
        <v>26</v>
      </c>
      <c r="F22" s="3">
        <v>3918</v>
      </c>
      <c r="G22" s="4">
        <v>223.56</v>
      </c>
      <c r="H22" s="4">
        <v>11321.15</v>
      </c>
      <c r="I22" s="2">
        <v>45855</v>
      </c>
    </row>
    <row r="23" spans="1:9" x14ac:dyDescent="0.25">
      <c r="A23" s="2">
        <v>45841.558333333334</v>
      </c>
      <c r="B23" s="18">
        <v>1751529294969</v>
      </c>
      <c r="C23" s="25" t="s">
        <v>34</v>
      </c>
      <c r="D23" s="3" t="s">
        <v>9</v>
      </c>
      <c r="E23" s="3" t="s">
        <v>10</v>
      </c>
      <c r="F23" s="3">
        <v>62</v>
      </c>
      <c r="G23" s="4">
        <v>301.02</v>
      </c>
      <c r="H23" s="4">
        <v>33184.629999999997</v>
      </c>
      <c r="I23" s="2">
        <v>45855</v>
      </c>
    </row>
    <row r="24" spans="1:9" x14ac:dyDescent="0.25">
      <c r="A24" s="2">
        <v>45842.504861111112</v>
      </c>
      <c r="B24" s="19">
        <v>1751611040153</v>
      </c>
      <c r="C24" s="25" t="s">
        <v>35</v>
      </c>
      <c r="D24" s="5" t="s">
        <v>36</v>
      </c>
      <c r="E24" s="3" t="s">
        <v>10</v>
      </c>
      <c r="F24" s="3">
        <v>2</v>
      </c>
      <c r="G24" s="4">
        <v>2.0699999999999998</v>
      </c>
      <c r="H24" s="4">
        <v>202.86</v>
      </c>
      <c r="I24" s="2"/>
    </row>
    <row r="25" spans="1:9" x14ac:dyDescent="0.25">
      <c r="A25" s="2">
        <v>45846.54583333333</v>
      </c>
      <c r="B25" s="18">
        <v>1751960177736</v>
      </c>
      <c r="C25" s="25" t="s">
        <v>37</v>
      </c>
      <c r="D25" s="3" t="s">
        <v>9</v>
      </c>
      <c r="E25" s="3" t="s">
        <v>26</v>
      </c>
      <c r="F25" s="3">
        <v>35083</v>
      </c>
      <c r="G25" s="4">
        <v>900.99</v>
      </c>
      <c r="H25" s="4">
        <v>44511.47</v>
      </c>
      <c r="I25" s="2">
        <v>45888</v>
      </c>
    </row>
    <row r="26" spans="1:9" x14ac:dyDescent="0.25">
      <c r="A26" s="2">
        <v>45846.554861111108</v>
      </c>
      <c r="B26" s="18">
        <v>1751960953915</v>
      </c>
      <c r="C26" s="25" t="s">
        <v>38</v>
      </c>
      <c r="D26" s="3" t="s">
        <v>9</v>
      </c>
      <c r="E26" s="3" t="s">
        <v>10</v>
      </c>
      <c r="F26" s="3">
        <v>97</v>
      </c>
      <c r="G26" s="4">
        <v>217.83</v>
      </c>
      <c r="H26" s="4">
        <v>25433.38</v>
      </c>
      <c r="I26" s="2">
        <v>45888</v>
      </c>
    </row>
    <row r="27" spans="1:9" x14ac:dyDescent="0.25">
      <c r="A27" s="2">
        <v>45847.694444444445</v>
      </c>
      <c r="B27" s="19">
        <v>1752059404738</v>
      </c>
      <c r="C27" s="25" t="s">
        <v>39</v>
      </c>
      <c r="D27" s="3" t="s">
        <v>9</v>
      </c>
      <c r="E27" s="3" t="s">
        <v>10</v>
      </c>
      <c r="F27" s="3">
        <v>109</v>
      </c>
      <c r="G27" s="4">
        <v>116.91</v>
      </c>
      <c r="H27" s="4">
        <v>11037.39</v>
      </c>
      <c r="I27" s="2">
        <v>45888</v>
      </c>
    </row>
    <row r="28" spans="1:9" x14ac:dyDescent="0.25">
      <c r="A28" s="2">
        <v>45853.556250000001</v>
      </c>
      <c r="B28" s="18">
        <v>1752565877827</v>
      </c>
      <c r="C28" s="25" t="s">
        <v>40</v>
      </c>
      <c r="D28" s="3" t="s">
        <v>9</v>
      </c>
      <c r="E28" s="3" t="s">
        <v>10</v>
      </c>
      <c r="F28" s="3">
        <v>38</v>
      </c>
      <c r="G28" s="4">
        <v>85.9</v>
      </c>
      <c r="H28" s="4">
        <v>10120.75</v>
      </c>
      <c r="I28" s="2">
        <v>45888</v>
      </c>
    </row>
    <row r="29" spans="1:9" x14ac:dyDescent="0.25">
      <c r="A29" s="2">
        <v>45853.561111111114</v>
      </c>
      <c r="B29" s="18">
        <v>1752566296938</v>
      </c>
      <c r="C29" s="25" t="s">
        <v>41</v>
      </c>
      <c r="D29" s="3" t="s">
        <v>9</v>
      </c>
      <c r="E29" s="3" t="s">
        <v>26</v>
      </c>
      <c r="F29" s="3">
        <v>7924</v>
      </c>
      <c r="G29" s="4">
        <v>948.87</v>
      </c>
      <c r="H29" s="4">
        <v>61904.31</v>
      </c>
      <c r="I29" s="2">
        <v>45888</v>
      </c>
    </row>
    <row r="30" spans="1:9" x14ac:dyDescent="0.25">
      <c r="A30" s="2">
        <v>45854.500694444447</v>
      </c>
      <c r="B30" s="18">
        <v>1752647467238</v>
      </c>
      <c r="C30" s="25" t="s">
        <v>42</v>
      </c>
      <c r="D30" s="5" t="s">
        <v>43</v>
      </c>
      <c r="E30" s="3" t="s">
        <v>10</v>
      </c>
      <c r="F30" s="3">
        <v>1</v>
      </c>
      <c r="G30" s="4">
        <v>1.94</v>
      </c>
      <c r="H30" s="4">
        <v>216.6</v>
      </c>
      <c r="I30" s="2">
        <f>++VLOOKUP(C30,'[1]Receipt Register'!$A$2:$B$133,2,FALSE)</f>
        <v>45854</v>
      </c>
    </row>
    <row r="31" spans="1:9" x14ac:dyDescent="0.25">
      <c r="A31" s="2">
        <v>45856.536805555559</v>
      </c>
      <c r="B31" s="18">
        <v>1752823437420</v>
      </c>
      <c r="C31" s="25" t="s">
        <v>44</v>
      </c>
      <c r="D31" s="3" t="s">
        <v>9</v>
      </c>
      <c r="E31" s="3" t="s">
        <v>10</v>
      </c>
      <c r="F31" s="3">
        <v>76</v>
      </c>
      <c r="G31" s="4">
        <v>572.62</v>
      </c>
      <c r="H31" s="4">
        <v>71455.03</v>
      </c>
      <c r="I31" s="2">
        <v>45888</v>
      </c>
    </row>
    <row r="32" spans="1:9" x14ac:dyDescent="0.25">
      <c r="A32" s="2">
        <v>45856.568055555559</v>
      </c>
      <c r="B32" s="18">
        <v>1752826088375</v>
      </c>
      <c r="C32" s="25" t="s">
        <v>45</v>
      </c>
      <c r="D32" s="3" t="s">
        <v>9</v>
      </c>
      <c r="E32" s="3" t="s">
        <v>26</v>
      </c>
      <c r="F32" s="3">
        <v>2403</v>
      </c>
      <c r="G32" s="4">
        <v>608.58000000000004</v>
      </c>
      <c r="H32" s="4">
        <v>32443.1</v>
      </c>
      <c r="I32" s="2">
        <v>45899</v>
      </c>
    </row>
    <row r="33" spans="1:9" x14ac:dyDescent="0.25">
      <c r="A33" s="2">
        <v>45856.706250000003</v>
      </c>
      <c r="B33" s="18">
        <v>1752838044507</v>
      </c>
      <c r="C33" s="25" t="s">
        <v>46</v>
      </c>
      <c r="D33" s="5" t="s">
        <v>47</v>
      </c>
      <c r="E33" s="3" t="s">
        <v>10</v>
      </c>
      <c r="F33" s="3">
        <v>4</v>
      </c>
      <c r="G33" s="4">
        <v>7.52</v>
      </c>
      <c r="H33" s="4">
        <v>900.55</v>
      </c>
      <c r="I33" s="2">
        <f>++VLOOKUP(C33,'[1]Receipt Register'!$A$2:$B$133,2,FALSE)</f>
        <v>45862</v>
      </c>
    </row>
    <row r="34" spans="1:9" x14ac:dyDescent="0.25">
      <c r="A34" s="2">
        <v>45861.556944444441</v>
      </c>
      <c r="B34" s="18">
        <v>1753257160458</v>
      </c>
      <c r="C34" s="25" t="s">
        <v>48</v>
      </c>
      <c r="D34" s="3" t="s">
        <v>9</v>
      </c>
      <c r="E34" s="3" t="s">
        <v>26</v>
      </c>
      <c r="F34" s="3">
        <v>4947</v>
      </c>
      <c r="G34" s="4">
        <v>143.78</v>
      </c>
      <c r="H34" s="4">
        <v>10639.71</v>
      </c>
      <c r="I34" s="2">
        <v>45899</v>
      </c>
    </row>
    <row r="35" spans="1:9" x14ac:dyDescent="0.25">
      <c r="A35" s="2">
        <v>45861.561111111114</v>
      </c>
      <c r="B35" s="18">
        <v>1753257509892</v>
      </c>
      <c r="C35" s="25" t="s">
        <v>49</v>
      </c>
      <c r="D35" s="3" t="s">
        <v>9</v>
      </c>
      <c r="E35" s="3" t="s">
        <v>10</v>
      </c>
      <c r="F35" s="3">
        <v>30</v>
      </c>
      <c r="G35" s="4">
        <v>57.08</v>
      </c>
      <c r="H35" s="4">
        <v>7150.06</v>
      </c>
      <c r="I35" s="2">
        <v>45888</v>
      </c>
    </row>
    <row r="36" spans="1:9" x14ac:dyDescent="0.25">
      <c r="A36" s="2">
        <v>45866.558333333334</v>
      </c>
      <c r="B36" s="18">
        <v>1753689242065</v>
      </c>
      <c r="C36" s="25" t="s">
        <v>50</v>
      </c>
      <c r="D36" s="3" t="s">
        <v>9</v>
      </c>
      <c r="E36" s="3" t="s">
        <v>10</v>
      </c>
      <c r="F36" s="3">
        <v>74</v>
      </c>
      <c r="G36" s="4">
        <v>145.19</v>
      </c>
      <c r="H36" s="4">
        <v>16866.82</v>
      </c>
      <c r="I36" s="2">
        <v>45899</v>
      </c>
    </row>
    <row r="37" spans="1:9" x14ac:dyDescent="0.25">
      <c r="A37" s="2">
        <v>45866.559027777781</v>
      </c>
      <c r="B37" s="18">
        <v>1753689350938</v>
      </c>
      <c r="C37" s="25" t="s">
        <v>51</v>
      </c>
      <c r="D37" s="3" t="s">
        <v>9</v>
      </c>
      <c r="E37" s="3" t="s">
        <v>26</v>
      </c>
      <c r="F37" s="3">
        <v>1685</v>
      </c>
      <c r="G37" s="4">
        <v>276.33</v>
      </c>
      <c r="H37" s="4">
        <v>22345.599999999999</v>
      </c>
      <c r="I37" s="2">
        <v>45899</v>
      </c>
    </row>
    <row r="38" spans="1:9" x14ac:dyDescent="0.25">
      <c r="A38" s="2">
        <v>45871</v>
      </c>
      <c r="B38" s="18">
        <v>1754118994321</v>
      </c>
      <c r="C38" s="25" t="s">
        <v>52</v>
      </c>
      <c r="D38" s="3" t="s">
        <v>9</v>
      </c>
      <c r="E38" s="3" t="s">
        <v>26</v>
      </c>
      <c r="F38" s="3">
        <v>6867</v>
      </c>
      <c r="G38" s="4">
        <v>1135.01</v>
      </c>
      <c r="H38" s="4">
        <v>77255.98</v>
      </c>
      <c r="I38" s="2">
        <v>45899</v>
      </c>
    </row>
    <row r="39" spans="1:9" x14ac:dyDescent="0.25">
      <c r="A39" s="2">
        <v>45871</v>
      </c>
      <c r="B39" s="18">
        <v>1754119473644</v>
      </c>
      <c r="C39" s="25" t="s">
        <v>53</v>
      </c>
      <c r="D39" s="3" t="s">
        <v>9</v>
      </c>
      <c r="E39" s="3" t="s">
        <v>10</v>
      </c>
      <c r="F39" s="3">
        <v>139</v>
      </c>
      <c r="G39" s="4">
        <v>489.94</v>
      </c>
      <c r="H39" s="4">
        <v>58484.36</v>
      </c>
      <c r="I39" s="2">
        <v>45899</v>
      </c>
    </row>
    <row r="40" spans="1:9" x14ac:dyDescent="0.25">
      <c r="A40" s="2">
        <v>45877</v>
      </c>
      <c r="B40" s="18">
        <v>1754637721585</v>
      </c>
      <c r="C40" s="25" t="s">
        <v>54</v>
      </c>
      <c r="D40" s="3" t="s">
        <v>9</v>
      </c>
      <c r="E40" s="3" t="s">
        <v>26</v>
      </c>
      <c r="F40" s="3">
        <v>1199</v>
      </c>
      <c r="G40" s="4">
        <v>164.74</v>
      </c>
      <c r="H40" s="4">
        <v>13673.16</v>
      </c>
      <c r="I40" s="2">
        <v>45899</v>
      </c>
    </row>
    <row r="41" spans="1:9" x14ac:dyDescent="0.25">
      <c r="A41" s="2">
        <v>45877</v>
      </c>
      <c r="B41" s="18">
        <v>1754641800191</v>
      </c>
      <c r="C41" s="25" t="s">
        <v>55</v>
      </c>
      <c r="D41" s="3" t="s">
        <v>9</v>
      </c>
      <c r="E41" s="3" t="s">
        <v>10</v>
      </c>
      <c r="F41" s="3">
        <v>27</v>
      </c>
      <c r="G41" s="4">
        <v>69.05</v>
      </c>
      <c r="H41" s="4">
        <v>34063.9</v>
      </c>
      <c r="I41" s="2">
        <v>45899</v>
      </c>
    </row>
    <row r="42" spans="1:9" x14ac:dyDescent="0.25">
      <c r="A42" s="2">
        <v>45888</v>
      </c>
      <c r="B42" s="19">
        <v>1755604886402</v>
      </c>
      <c r="C42" s="25" t="s">
        <v>56</v>
      </c>
      <c r="D42" s="6" t="s">
        <v>57</v>
      </c>
      <c r="E42" s="3" t="s">
        <v>10</v>
      </c>
      <c r="F42" s="3">
        <v>10</v>
      </c>
      <c r="G42" s="4">
        <v>11.68</v>
      </c>
      <c r="H42" s="4">
        <v>1567.84</v>
      </c>
      <c r="I42" s="3"/>
    </row>
    <row r="43" spans="1:9" x14ac:dyDescent="0.25">
      <c r="A43" s="2">
        <v>45891</v>
      </c>
      <c r="B43" s="18">
        <v>1755849215713</v>
      </c>
      <c r="C43" s="25" t="s">
        <v>58</v>
      </c>
      <c r="D43" s="3" t="s">
        <v>9</v>
      </c>
      <c r="E43" s="3" t="s">
        <v>10</v>
      </c>
      <c r="F43" s="3">
        <v>115</v>
      </c>
      <c r="G43" s="4">
        <v>331.53</v>
      </c>
      <c r="H43" s="4">
        <v>40201.870000000003</v>
      </c>
      <c r="I43" s="2">
        <v>45943</v>
      </c>
    </row>
    <row r="44" spans="1:9" x14ac:dyDescent="0.25">
      <c r="A44" s="2">
        <v>45891</v>
      </c>
      <c r="B44" s="18">
        <v>1755848330346</v>
      </c>
      <c r="C44" s="26" t="s">
        <v>59</v>
      </c>
      <c r="D44" s="2" t="s">
        <v>9</v>
      </c>
      <c r="E44" s="3" t="s">
        <v>26</v>
      </c>
      <c r="F44" s="3">
        <v>29113</v>
      </c>
      <c r="G44" s="4">
        <v>1101.67</v>
      </c>
      <c r="H44" s="4">
        <v>79085.14</v>
      </c>
      <c r="I44" s="2">
        <v>45943</v>
      </c>
    </row>
    <row r="45" spans="1:9" x14ac:dyDescent="0.25">
      <c r="A45" s="2">
        <v>45894</v>
      </c>
      <c r="B45" s="18">
        <v>1756108284090</v>
      </c>
      <c r="C45" s="26" t="s">
        <v>60</v>
      </c>
      <c r="D45" s="2" t="s">
        <v>9</v>
      </c>
      <c r="E45" s="3" t="s">
        <v>10</v>
      </c>
      <c r="F45" s="3">
        <v>9</v>
      </c>
      <c r="G45" s="4">
        <v>11.25</v>
      </c>
      <c r="H45" s="4">
        <v>1466.93</v>
      </c>
      <c r="I45" s="2">
        <v>45943</v>
      </c>
    </row>
    <row r="46" spans="1:9" x14ac:dyDescent="0.25">
      <c r="A46" s="2">
        <v>45894</v>
      </c>
      <c r="B46" s="18">
        <v>1756109501449</v>
      </c>
      <c r="C46" s="26" t="s">
        <v>61</v>
      </c>
      <c r="D46" s="2" t="s">
        <v>9</v>
      </c>
      <c r="E46" s="3" t="s">
        <v>26</v>
      </c>
      <c r="F46" s="3">
        <v>1761</v>
      </c>
      <c r="G46" s="4">
        <v>343.08</v>
      </c>
      <c r="H46" s="4">
        <v>27226.61</v>
      </c>
      <c r="I46" s="2">
        <v>45943</v>
      </c>
    </row>
    <row r="47" spans="1:9" x14ac:dyDescent="0.25">
      <c r="A47" s="2">
        <v>45909</v>
      </c>
      <c r="B47" s="18">
        <v>1757402622625</v>
      </c>
      <c r="C47" s="26" t="s">
        <v>62</v>
      </c>
      <c r="D47" s="2" t="s">
        <v>9</v>
      </c>
      <c r="E47" s="3" t="s">
        <v>26</v>
      </c>
      <c r="F47" s="3">
        <v>9214</v>
      </c>
      <c r="G47" s="4">
        <v>361.06</v>
      </c>
      <c r="H47" s="4">
        <v>16804.68</v>
      </c>
      <c r="I47" s="2">
        <v>45943</v>
      </c>
    </row>
    <row r="48" spans="1:9" x14ac:dyDescent="0.25">
      <c r="A48" s="2">
        <v>45909</v>
      </c>
      <c r="B48" s="18">
        <v>1757403894756</v>
      </c>
      <c r="C48" s="26" t="s">
        <v>63</v>
      </c>
      <c r="D48" s="2" t="s">
        <v>9</v>
      </c>
      <c r="E48" s="3" t="s">
        <v>10</v>
      </c>
      <c r="F48" s="3">
        <v>164</v>
      </c>
      <c r="G48" s="4">
        <v>408.91</v>
      </c>
      <c r="H48" s="4">
        <v>45979.9</v>
      </c>
      <c r="I48" s="2">
        <v>45967</v>
      </c>
    </row>
    <row r="49" spans="1:9" x14ac:dyDescent="0.25">
      <c r="A49" s="2">
        <v>45912</v>
      </c>
      <c r="B49" s="18">
        <v>1757665345414</v>
      </c>
      <c r="C49" s="25" t="s">
        <v>64</v>
      </c>
      <c r="D49" s="3" t="s">
        <v>9</v>
      </c>
      <c r="E49" s="3" t="s">
        <v>10</v>
      </c>
      <c r="F49" s="3">
        <v>313</v>
      </c>
      <c r="G49" s="4">
        <v>513.62</v>
      </c>
      <c r="H49" s="4">
        <v>61835.46</v>
      </c>
      <c r="I49" s="2">
        <v>45967</v>
      </c>
    </row>
    <row r="50" spans="1:9" x14ac:dyDescent="0.25">
      <c r="A50" s="2">
        <v>45912</v>
      </c>
      <c r="B50" s="18">
        <v>1757665953332</v>
      </c>
      <c r="C50" s="25" t="s">
        <v>65</v>
      </c>
      <c r="D50" s="3" t="s">
        <v>9</v>
      </c>
      <c r="E50" s="3" t="s">
        <v>26</v>
      </c>
      <c r="F50" s="3">
        <v>13146</v>
      </c>
      <c r="G50" s="4">
        <v>538.62</v>
      </c>
      <c r="H50" s="4">
        <v>37999.08</v>
      </c>
      <c r="I50" s="2">
        <v>45967</v>
      </c>
    </row>
    <row r="51" spans="1:9" x14ac:dyDescent="0.25">
      <c r="A51" s="2">
        <v>45919</v>
      </c>
      <c r="B51" s="18">
        <v>1758266572058</v>
      </c>
      <c r="C51" s="25" t="s">
        <v>66</v>
      </c>
      <c r="D51" s="3" t="s">
        <v>9</v>
      </c>
      <c r="E51" s="3" t="s">
        <v>26</v>
      </c>
      <c r="F51" s="3">
        <v>561</v>
      </c>
      <c r="G51" s="4">
        <v>458.99</v>
      </c>
      <c r="H51" s="4">
        <v>68157.679999999993</v>
      </c>
      <c r="I51" s="2">
        <v>45967</v>
      </c>
    </row>
    <row r="52" spans="1:9" x14ac:dyDescent="0.25">
      <c r="A52" s="2">
        <v>45919</v>
      </c>
      <c r="B52" s="18">
        <v>1758270508193</v>
      </c>
      <c r="C52" s="25" t="s">
        <v>67</v>
      </c>
      <c r="D52" s="3" t="s">
        <v>9</v>
      </c>
      <c r="E52" s="3" t="s">
        <v>10</v>
      </c>
      <c r="F52" s="3">
        <v>960</v>
      </c>
      <c r="G52" s="4">
        <v>1576.15</v>
      </c>
      <c r="H52" s="4">
        <v>189912.6</v>
      </c>
      <c r="I52" s="2">
        <v>46000</v>
      </c>
    </row>
    <row r="53" spans="1:9" x14ac:dyDescent="0.25">
      <c r="A53" s="2">
        <v>45938</v>
      </c>
      <c r="B53" s="7">
        <v>1758353737406</v>
      </c>
      <c r="C53" s="25" t="s">
        <v>68</v>
      </c>
      <c r="D53" s="5" t="s">
        <v>28</v>
      </c>
      <c r="E53" s="3" t="s">
        <v>69</v>
      </c>
      <c r="F53" s="8">
        <v>1</v>
      </c>
      <c r="G53" s="9">
        <v>1.81</v>
      </c>
      <c r="H53" s="9">
        <v>638.70000000000005</v>
      </c>
      <c r="I53" s="2">
        <v>45939</v>
      </c>
    </row>
    <row r="54" spans="1:9" x14ac:dyDescent="0.25">
      <c r="A54" s="2">
        <v>45944</v>
      </c>
      <c r="B54" s="7">
        <v>1760437753100</v>
      </c>
      <c r="C54" s="25" t="s">
        <v>70</v>
      </c>
      <c r="D54" s="3" t="s">
        <v>9</v>
      </c>
      <c r="E54" s="3" t="s">
        <v>26</v>
      </c>
      <c r="F54" s="8">
        <v>8118</v>
      </c>
      <c r="G54" s="9">
        <v>2122.96</v>
      </c>
      <c r="H54" s="9">
        <v>148238.98000000001</v>
      </c>
      <c r="I54" s="2">
        <v>45665</v>
      </c>
    </row>
    <row r="55" spans="1:9" x14ac:dyDescent="0.25">
      <c r="A55" s="2">
        <v>45944</v>
      </c>
      <c r="B55" s="7">
        <v>1760438545995</v>
      </c>
      <c r="C55" s="25" t="s">
        <v>71</v>
      </c>
      <c r="D55" s="3" t="s">
        <v>9</v>
      </c>
      <c r="E55" s="3" t="s">
        <v>69</v>
      </c>
      <c r="F55" s="8">
        <v>483</v>
      </c>
      <c r="G55" s="9">
        <v>889.96</v>
      </c>
      <c r="H55" s="9">
        <v>91681.72</v>
      </c>
      <c r="I55" s="2">
        <v>45665</v>
      </c>
    </row>
    <row r="56" spans="1:9" x14ac:dyDescent="0.25">
      <c r="A56" s="2">
        <v>45947</v>
      </c>
      <c r="B56" s="7">
        <v>1760689102363</v>
      </c>
      <c r="C56" s="25" t="s">
        <v>72</v>
      </c>
      <c r="D56" s="3" t="s">
        <v>9</v>
      </c>
      <c r="E56" s="3" t="s">
        <v>69</v>
      </c>
      <c r="F56" s="8">
        <v>680</v>
      </c>
      <c r="G56" s="9">
        <v>2192.89</v>
      </c>
      <c r="H56" s="9">
        <v>294751.13</v>
      </c>
      <c r="I56" s="2">
        <v>45680</v>
      </c>
    </row>
    <row r="57" spans="1:9" x14ac:dyDescent="0.25">
      <c r="A57" s="2">
        <v>45947</v>
      </c>
      <c r="B57" s="7">
        <v>1760625693498</v>
      </c>
      <c r="C57" s="25" t="s">
        <v>73</v>
      </c>
      <c r="D57" s="3" t="s">
        <v>9</v>
      </c>
      <c r="E57" s="3" t="s">
        <v>26</v>
      </c>
      <c r="F57" s="8">
        <v>62468</v>
      </c>
      <c r="G57" s="9">
        <v>3105.51</v>
      </c>
      <c r="H57" s="9">
        <v>231049.3</v>
      </c>
      <c r="I57" s="2">
        <v>45680</v>
      </c>
    </row>
    <row r="58" spans="1:9" x14ac:dyDescent="0.25">
      <c r="A58" s="2">
        <v>45967</v>
      </c>
      <c r="B58" s="7">
        <v>1762412134336</v>
      </c>
      <c r="C58" s="25" t="s">
        <v>74</v>
      </c>
      <c r="D58" s="3" t="s">
        <v>9</v>
      </c>
      <c r="E58" s="3" t="s">
        <v>26</v>
      </c>
      <c r="F58" s="8">
        <v>4611</v>
      </c>
      <c r="G58" s="9">
        <v>911.7</v>
      </c>
      <c r="H58" s="9">
        <v>50593.5</v>
      </c>
      <c r="I58" s="2">
        <v>45688</v>
      </c>
    </row>
    <row r="59" spans="1:9" x14ac:dyDescent="0.25">
      <c r="A59" s="2">
        <v>45967</v>
      </c>
      <c r="B59" s="10">
        <v>1762413465247</v>
      </c>
      <c r="C59" s="25" t="s">
        <v>75</v>
      </c>
      <c r="D59" s="3" t="s">
        <v>9</v>
      </c>
      <c r="E59" s="3" t="s">
        <v>76</v>
      </c>
      <c r="F59" s="8">
        <v>521</v>
      </c>
      <c r="G59" s="9">
        <v>1166.5</v>
      </c>
      <c r="H59" s="9">
        <v>134381.79999999999</v>
      </c>
      <c r="I59" s="2">
        <v>45688</v>
      </c>
    </row>
    <row r="60" spans="1:9" x14ac:dyDescent="0.25">
      <c r="A60" s="2">
        <v>45968</v>
      </c>
      <c r="B60" s="7">
        <v>1762500042222</v>
      </c>
      <c r="C60" s="25" t="s">
        <v>77</v>
      </c>
      <c r="D60" s="3" t="s">
        <v>9</v>
      </c>
      <c r="E60" s="3" t="s">
        <v>76</v>
      </c>
      <c r="F60" s="8">
        <v>6032</v>
      </c>
      <c r="G60" s="9">
        <v>1721.15</v>
      </c>
      <c r="H60" s="9">
        <v>109942.6</v>
      </c>
      <c r="I60" s="2">
        <v>45688</v>
      </c>
    </row>
    <row r="61" spans="1:9" x14ac:dyDescent="0.25">
      <c r="A61" s="2">
        <v>45974</v>
      </c>
      <c r="B61" s="7">
        <v>1763019523542</v>
      </c>
      <c r="C61" s="25" t="s">
        <v>78</v>
      </c>
      <c r="D61" s="3" t="s">
        <v>9</v>
      </c>
      <c r="E61" s="3" t="s">
        <v>26</v>
      </c>
      <c r="F61" s="8">
        <v>23520</v>
      </c>
      <c r="G61" s="9">
        <v>1617.47</v>
      </c>
      <c r="H61" s="9">
        <v>90329.86</v>
      </c>
      <c r="I61" s="2">
        <v>46112</v>
      </c>
    </row>
    <row r="62" spans="1:9" x14ac:dyDescent="0.25">
      <c r="A62" s="2">
        <v>45974</v>
      </c>
      <c r="B62" s="7">
        <v>1763020028394</v>
      </c>
      <c r="C62" s="25" t="s">
        <v>79</v>
      </c>
      <c r="D62" s="3" t="s">
        <v>9</v>
      </c>
      <c r="E62" s="3" t="s">
        <v>69</v>
      </c>
      <c r="F62" s="8">
        <v>232</v>
      </c>
      <c r="G62" s="9">
        <v>542.39</v>
      </c>
      <c r="H62" s="9">
        <v>64350.33</v>
      </c>
      <c r="I62" s="2">
        <v>46112</v>
      </c>
    </row>
    <row r="63" spans="1:9" x14ac:dyDescent="0.25">
      <c r="A63" s="2">
        <v>45976</v>
      </c>
      <c r="B63" s="7">
        <v>1763187870776</v>
      </c>
      <c r="C63" s="25" t="s">
        <v>80</v>
      </c>
      <c r="D63" s="3" t="s">
        <v>9</v>
      </c>
      <c r="E63" s="3" t="s">
        <v>69</v>
      </c>
      <c r="F63" s="8">
        <v>195</v>
      </c>
      <c r="G63" s="9">
        <v>283.33</v>
      </c>
      <c r="H63" s="9">
        <v>30264.93</v>
      </c>
      <c r="I63" s="2">
        <v>46112</v>
      </c>
    </row>
    <row r="64" spans="1:9" x14ac:dyDescent="0.25">
      <c r="A64" s="2">
        <v>45976</v>
      </c>
      <c r="B64" s="7">
        <v>1763188526543</v>
      </c>
      <c r="C64" s="25" t="s">
        <v>81</v>
      </c>
      <c r="D64" s="3" t="s">
        <v>9</v>
      </c>
      <c r="E64" s="3" t="s">
        <v>26</v>
      </c>
      <c r="F64" s="8">
        <v>11082</v>
      </c>
      <c r="G64" s="9">
        <v>1326.13</v>
      </c>
      <c r="H64" s="9">
        <v>65722.06</v>
      </c>
      <c r="I64" s="2">
        <v>46112</v>
      </c>
    </row>
    <row r="65" spans="1:9" x14ac:dyDescent="0.25">
      <c r="A65" s="2">
        <v>45983</v>
      </c>
      <c r="B65" s="7">
        <v>1763787305205</v>
      </c>
      <c r="C65" s="25" t="s">
        <v>82</v>
      </c>
      <c r="D65" s="3" t="s">
        <v>9</v>
      </c>
      <c r="E65" s="3" t="s">
        <v>26</v>
      </c>
      <c r="F65" s="8">
        <v>25534</v>
      </c>
      <c r="G65" s="9">
        <v>1660.07</v>
      </c>
      <c r="H65" s="9">
        <v>93058.66</v>
      </c>
      <c r="I65" s="2">
        <v>46112</v>
      </c>
    </row>
    <row r="66" spans="1:9" x14ac:dyDescent="0.25">
      <c r="A66" s="2">
        <v>45983</v>
      </c>
      <c r="B66" s="7">
        <v>1763788494846</v>
      </c>
      <c r="C66" s="25" t="s">
        <v>83</v>
      </c>
      <c r="D66" s="3" t="s">
        <v>9</v>
      </c>
      <c r="E66" s="3" t="s">
        <v>69</v>
      </c>
      <c r="F66" s="8">
        <v>203</v>
      </c>
      <c r="G66" s="9">
        <v>275.79000000000002</v>
      </c>
      <c r="H66" s="9">
        <v>30198.83</v>
      </c>
      <c r="I66" s="2"/>
    </row>
    <row r="67" spans="1:9" x14ac:dyDescent="0.25">
      <c r="A67" s="2">
        <v>45988</v>
      </c>
      <c r="B67" s="7">
        <v>1764240066566</v>
      </c>
      <c r="C67" s="25" t="s">
        <v>84</v>
      </c>
      <c r="D67" s="3" t="s">
        <v>85</v>
      </c>
      <c r="E67" s="3" t="s">
        <v>76</v>
      </c>
      <c r="F67" s="8">
        <v>3</v>
      </c>
      <c r="G67" s="9">
        <v>5.67</v>
      </c>
      <c r="H67" s="9">
        <v>572.67999999999995</v>
      </c>
      <c r="I67" s="2">
        <f>++VLOOKUP(C67,'[1]Receipt Register'!$A$2:$B$133,2,FALSE)</f>
        <v>46001</v>
      </c>
    </row>
    <row r="68" spans="1:9" x14ac:dyDescent="0.25">
      <c r="A68" s="2">
        <v>45989</v>
      </c>
      <c r="B68" s="7">
        <v>1764306597956</v>
      </c>
      <c r="C68" s="25" t="s">
        <v>86</v>
      </c>
      <c r="D68" s="3" t="s">
        <v>9</v>
      </c>
      <c r="E68" s="3" t="s">
        <v>76</v>
      </c>
      <c r="F68" s="8">
        <v>41836</v>
      </c>
      <c r="G68" s="9">
        <v>2353.44</v>
      </c>
      <c r="H68" s="9">
        <v>161034.26</v>
      </c>
      <c r="I68" s="2"/>
    </row>
    <row r="69" spans="1:9" x14ac:dyDescent="0.25">
      <c r="A69" s="2">
        <v>45990</v>
      </c>
      <c r="B69" s="7">
        <v>1764406497284</v>
      </c>
      <c r="C69" s="25" t="s">
        <v>87</v>
      </c>
      <c r="D69" s="3" t="s">
        <v>85</v>
      </c>
      <c r="E69" s="3" t="s">
        <v>76</v>
      </c>
      <c r="F69" s="8">
        <v>12</v>
      </c>
      <c r="G69" s="9">
        <v>20.7</v>
      </c>
      <c r="H69" s="9">
        <v>2122.79</v>
      </c>
      <c r="I69" s="2">
        <f>++VLOOKUP(C69,'[1]Receipt Register'!$A$2:$B$133,2,FALSE)</f>
        <v>46001</v>
      </c>
    </row>
    <row r="70" spans="1:9" x14ac:dyDescent="0.25">
      <c r="A70" s="2">
        <v>45990</v>
      </c>
      <c r="B70" s="7">
        <v>1764408346081</v>
      </c>
      <c r="C70" s="25" t="s">
        <v>88</v>
      </c>
      <c r="D70" s="3" t="s">
        <v>85</v>
      </c>
      <c r="E70" s="3" t="s">
        <v>69</v>
      </c>
      <c r="F70" s="3">
        <v>27</v>
      </c>
      <c r="G70" s="9">
        <v>54.38</v>
      </c>
      <c r="H70" s="9">
        <v>5623.04</v>
      </c>
      <c r="I70" s="2">
        <f>++VLOOKUP(C70,'[1]Receipt Register'!$A$2:$B$133,2,FALSE)</f>
        <v>46001</v>
      </c>
    </row>
    <row r="71" spans="1:9" x14ac:dyDescent="0.25">
      <c r="A71" s="2">
        <v>45992</v>
      </c>
      <c r="B71" s="7">
        <v>1764584159655</v>
      </c>
      <c r="C71" s="25" t="s">
        <v>89</v>
      </c>
      <c r="D71" s="3" t="s">
        <v>85</v>
      </c>
      <c r="E71" s="3" t="s">
        <v>76</v>
      </c>
      <c r="F71" s="3">
        <v>111</v>
      </c>
      <c r="G71" s="9">
        <v>217.04</v>
      </c>
      <c r="H71" s="9">
        <v>21799</v>
      </c>
      <c r="I71" s="2">
        <f>++VLOOKUP(C71,'[1]Receipt Register'!$A$2:$B$133,2,FALSE)</f>
        <v>46001</v>
      </c>
    </row>
    <row r="72" spans="1:9" x14ac:dyDescent="0.25">
      <c r="A72" s="2">
        <v>45992</v>
      </c>
      <c r="B72" s="7">
        <v>1764587412503</v>
      </c>
      <c r="C72" s="25" t="s">
        <v>90</v>
      </c>
      <c r="D72" s="3" t="s">
        <v>91</v>
      </c>
      <c r="E72" s="3" t="s">
        <v>69</v>
      </c>
      <c r="F72" s="8">
        <v>32</v>
      </c>
      <c r="G72" s="9">
        <v>61.02</v>
      </c>
      <c r="H72" s="9">
        <v>6334.82</v>
      </c>
      <c r="I72" s="2">
        <f>++VLOOKUP(C72,'[1]Receipt Register'!$A$2:$B$133,2,FALSE)</f>
        <v>46059</v>
      </c>
    </row>
    <row r="73" spans="1:9" x14ac:dyDescent="0.25">
      <c r="A73" s="2">
        <v>45992</v>
      </c>
      <c r="B73" s="7">
        <v>1764588988276</v>
      </c>
      <c r="C73" s="25" t="s">
        <v>92</v>
      </c>
      <c r="D73" s="3" t="s">
        <v>85</v>
      </c>
      <c r="E73" s="3" t="s">
        <v>69</v>
      </c>
      <c r="F73" s="8">
        <v>24</v>
      </c>
      <c r="G73" s="9">
        <v>49.09</v>
      </c>
      <c r="H73" s="9">
        <v>5207.87</v>
      </c>
      <c r="I73" s="2">
        <f>++VLOOKUP(C73,'[1]Receipt Register'!$A$2:$B$133,2,FALSE)</f>
        <v>46001</v>
      </c>
    </row>
    <row r="74" spans="1:9" x14ac:dyDescent="0.25">
      <c r="A74" s="2">
        <v>45992</v>
      </c>
      <c r="B74" s="7">
        <v>1764589248273</v>
      </c>
      <c r="C74" s="25" t="s">
        <v>93</v>
      </c>
      <c r="D74" s="3" t="s">
        <v>85</v>
      </c>
      <c r="E74" s="3" t="s">
        <v>69</v>
      </c>
      <c r="F74" s="8">
        <v>61</v>
      </c>
      <c r="G74" s="9">
        <v>124.39</v>
      </c>
      <c r="H74" s="9">
        <v>13090.26</v>
      </c>
      <c r="I74" s="2">
        <f>++VLOOKUP(C74,'[1]Receipt Register'!$A$2:$B$133,2,FALSE)</f>
        <v>46001</v>
      </c>
    </row>
    <row r="75" spans="1:9" x14ac:dyDescent="0.25">
      <c r="A75" s="2">
        <v>45993</v>
      </c>
      <c r="B75" s="10">
        <v>1764401827626</v>
      </c>
      <c r="C75" s="25" t="s">
        <v>94</v>
      </c>
      <c r="D75" s="3" t="s">
        <v>95</v>
      </c>
      <c r="E75" s="3" t="s">
        <v>10</v>
      </c>
      <c r="F75" s="8">
        <v>5</v>
      </c>
      <c r="G75" s="9">
        <v>4.33</v>
      </c>
      <c r="H75" s="9">
        <v>599.48</v>
      </c>
      <c r="I75" s="2">
        <f>++VLOOKUP(C75,'[1]Receipt Register'!$A$2:$B$133,2,FALSE)</f>
        <v>46059</v>
      </c>
    </row>
    <row r="76" spans="1:9" x14ac:dyDescent="0.25">
      <c r="A76" s="2">
        <v>45993</v>
      </c>
      <c r="B76" s="7">
        <v>1764651026230</v>
      </c>
      <c r="C76" s="25" t="s">
        <v>96</v>
      </c>
      <c r="D76" s="3" t="s">
        <v>91</v>
      </c>
      <c r="E76" s="3" t="s">
        <v>10</v>
      </c>
      <c r="F76" s="3">
        <v>2</v>
      </c>
      <c r="G76" s="9">
        <v>10.199999999999999</v>
      </c>
      <c r="H76" s="9">
        <v>1262.97</v>
      </c>
      <c r="I76" s="2">
        <f>++VLOOKUP(C76,'[1]Receipt Register'!$A$2:$B$133,2,FALSE)</f>
        <v>46059</v>
      </c>
    </row>
    <row r="77" spans="1:9" x14ac:dyDescent="0.25">
      <c r="A77" s="2">
        <v>45993</v>
      </c>
      <c r="B77" s="7">
        <v>1764661435265</v>
      </c>
      <c r="C77" s="25" t="s">
        <v>97</v>
      </c>
      <c r="D77" s="3" t="s">
        <v>9</v>
      </c>
      <c r="E77" s="3" t="s">
        <v>26</v>
      </c>
      <c r="F77" s="8">
        <v>6717</v>
      </c>
      <c r="G77" s="9">
        <v>1946.89</v>
      </c>
      <c r="H77" s="9">
        <v>141399.62</v>
      </c>
      <c r="I77" s="2">
        <v>46091</v>
      </c>
    </row>
    <row r="78" spans="1:9" x14ac:dyDescent="0.25">
      <c r="A78" s="2">
        <v>45993</v>
      </c>
      <c r="B78" s="7">
        <v>1764661870796</v>
      </c>
      <c r="C78" s="25" t="s">
        <v>98</v>
      </c>
      <c r="D78" s="3" t="s">
        <v>9</v>
      </c>
      <c r="E78" s="3" t="s">
        <v>69</v>
      </c>
      <c r="F78" s="8">
        <v>59</v>
      </c>
      <c r="G78" s="9">
        <v>123.34</v>
      </c>
      <c r="H78" s="9">
        <v>13445.98</v>
      </c>
      <c r="I78" s="2">
        <v>46091</v>
      </c>
    </row>
    <row r="79" spans="1:9" x14ac:dyDescent="0.25">
      <c r="A79" s="2">
        <v>45993</v>
      </c>
      <c r="B79" s="7">
        <v>1764676049978</v>
      </c>
      <c r="C79" s="25" t="s">
        <v>99</v>
      </c>
      <c r="D79" s="3" t="s">
        <v>85</v>
      </c>
      <c r="E79" s="3" t="s">
        <v>69</v>
      </c>
      <c r="F79" s="3">
        <v>3</v>
      </c>
      <c r="G79" s="9">
        <v>6.12</v>
      </c>
      <c r="H79" s="9">
        <v>650.70000000000005</v>
      </c>
      <c r="I79" s="2">
        <f>++VLOOKUP(C79,'[1]Receipt Register'!$A$2:$B$133,2,FALSE)</f>
        <v>46001</v>
      </c>
    </row>
    <row r="80" spans="1:9" x14ac:dyDescent="0.25">
      <c r="A80" s="2">
        <v>45994</v>
      </c>
      <c r="B80" s="7">
        <v>1764752476287</v>
      </c>
      <c r="C80" s="25" t="s">
        <v>100</v>
      </c>
      <c r="D80" s="3" t="s">
        <v>91</v>
      </c>
      <c r="E80" s="3" t="s">
        <v>69</v>
      </c>
      <c r="F80" s="3">
        <v>20</v>
      </c>
      <c r="G80" s="9">
        <v>38.08</v>
      </c>
      <c r="H80" s="9">
        <v>3968.09</v>
      </c>
      <c r="I80" s="2">
        <f>++VLOOKUP(C80,'[1]Receipt Register'!$A$2:$B$133,2,FALSE)</f>
        <v>46059</v>
      </c>
    </row>
    <row r="81" spans="1:9" x14ac:dyDescent="0.25">
      <c r="A81" s="2">
        <v>45994</v>
      </c>
      <c r="B81" s="7">
        <v>1764761955848</v>
      </c>
      <c r="C81" s="25" t="s">
        <v>101</v>
      </c>
      <c r="D81" s="3" t="s">
        <v>91</v>
      </c>
      <c r="E81" s="3" t="s">
        <v>76</v>
      </c>
      <c r="F81" s="3">
        <v>32</v>
      </c>
      <c r="G81" s="9">
        <v>66</v>
      </c>
      <c r="H81" s="9">
        <v>7635.9</v>
      </c>
      <c r="I81" s="2">
        <f>++VLOOKUP(C81,'[1]Receipt Register'!$A$2:$B$133,2,FALSE)</f>
        <v>46059</v>
      </c>
    </row>
    <row r="82" spans="1:9" x14ac:dyDescent="0.25">
      <c r="A82" s="2">
        <v>45995</v>
      </c>
      <c r="B82" s="10">
        <v>1764833215447</v>
      </c>
      <c r="C82" s="25" t="s">
        <v>102</v>
      </c>
      <c r="D82" s="3" t="s">
        <v>9</v>
      </c>
      <c r="E82" s="3" t="s">
        <v>76</v>
      </c>
      <c r="F82" s="3">
        <v>3710</v>
      </c>
      <c r="G82" s="9">
        <v>617.13</v>
      </c>
      <c r="H82" s="9">
        <v>57961.760000000002</v>
      </c>
      <c r="I82" s="2">
        <v>46091</v>
      </c>
    </row>
    <row r="83" spans="1:9" x14ac:dyDescent="0.25">
      <c r="A83" s="2">
        <v>45996</v>
      </c>
      <c r="B83" s="7">
        <v>1764929613716</v>
      </c>
      <c r="C83" s="25" t="s">
        <v>103</v>
      </c>
      <c r="D83" s="3" t="s">
        <v>91</v>
      </c>
      <c r="E83" s="3" t="s">
        <v>69</v>
      </c>
      <c r="F83" s="3">
        <v>7</v>
      </c>
      <c r="G83" s="4">
        <v>10.24</v>
      </c>
      <c r="H83" s="9">
        <v>1052.05</v>
      </c>
      <c r="I83" s="2">
        <f>++VLOOKUP(C83,'[1]Receipt Register'!$A$2:$B$133,2,FALSE)</f>
        <v>46062</v>
      </c>
    </row>
    <row r="84" spans="1:9" x14ac:dyDescent="0.25">
      <c r="A84" s="2">
        <v>45996</v>
      </c>
      <c r="B84" s="7">
        <v>1765000532776</v>
      </c>
      <c r="C84" s="25" t="s">
        <v>104</v>
      </c>
      <c r="D84" s="3" t="s">
        <v>91</v>
      </c>
      <c r="E84" s="3" t="s">
        <v>69</v>
      </c>
      <c r="F84" s="3">
        <v>10</v>
      </c>
      <c r="G84" s="4">
        <v>17.57</v>
      </c>
      <c r="H84" s="4">
        <v>1809.24</v>
      </c>
      <c r="I84" s="2">
        <f>++VLOOKUP(C84,'[1]Receipt Register'!$A$2:$B$133,2,FALSE)</f>
        <v>46062</v>
      </c>
    </row>
    <row r="85" spans="1:9" x14ac:dyDescent="0.25">
      <c r="A85" s="2">
        <v>45997</v>
      </c>
      <c r="B85" s="7">
        <v>1765002490043</v>
      </c>
      <c r="C85" s="25" t="s">
        <v>105</v>
      </c>
      <c r="D85" s="3" t="s">
        <v>9</v>
      </c>
      <c r="E85" s="3" t="s">
        <v>76</v>
      </c>
      <c r="F85" s="3">
        <v>1407</v>
      </c>
      <c r="G85" s="4">
        <v>418.8</v>
      </c>
      <c r="H85" s="4">
        <v>33575.760000000002</v>
      </c>
      <c r="I85" s="2">
        <v>46091</v>
      </c>
    </row>
    <row r="86" spans="1:9" x14ac:dyDescent="0.25">
      <c r="A86" s="2">
        <v>45999</v>
      </c>
      <c r="B86" s="7">
        <v>1765166359805</v>
      </c>
      <c r="C86" s="25" t="s">
        <v>106</v>
      </c>
      <c r="D86" s="3" t="s">
        <v>85</v>
      </c>
      <c r="E86" s="3" t="s">
        <v>76</v>
      </c>
      <c r="F86" s="3">
        <v>53</v>
      </c>
      <c r="G86" s="4">
        <v>55.93</v>
      </c>
      <c r="H86" s="4">
        <v>5402.46</v>
      </c>
      <c r="I86" s="2">
        <f>++VLOOKUP(C86,'[1]Receipt Register'!$A$2:$B$133,2,FALSE)</f>
        <v>46010</v>
      </c>
    </row>
    <row r="87" spans="1:9" x14ac:dyDescent="0.25">
      <c r="A87" s="2">
        <v>45999</v>
      </c>
      <c r="B87" s="7">
        <v>1765185472007</v>
      </c>
      <c r="C87" s="25" t="s">
        <v>107</v>
      </c>
      <c r="D87" s="3" t="s">
        <v>91</v>
      </c>
      <c r="E87" s="3" t="s">
        <v>26</v>
      </c>
      <c r="F87" s="3" t="s">
        <v>108</v>
      </c>
      <c r="G87" s="4">
        <v>162.43</v>
      </c>
      <c r="H87" s="4">
        <v>8555.52</v>
      </c>
      <c r="I87" s="2">
        <f>++VLOOKUP(C87,'[1]Receipt Register'!$A$2:$B$133,2,FALSE)</f>
        <v>46090</v>
      </c>
    </row>
    <row r="88" spans="1:9" x14ac:dyDescent="0.25">
      <c r="A88" s="2">
        <v>45999</v>
      </c>
      <c r="B88" s="7">
        <v>1765186685663</v>
      </c>
      <c r="C88" s="25" t="s">
        <v>109</v>
      </c>
      <c r="D88" s="3" t="s">
        <v>91</v>
      </c>
      <c r="E88" s="3" t="s">
        <v>69</v>
      </c>
      <c r="F88" s="3">
        <v>5</v>
      </c>
      <c r="G88" s="4">
        <v>7.79</v>
      </c>
      <c r="H88" s="4">
        <v>803.47</v>
      </c>
      <c r="I88" s="2">
        <f>++VLOOKUP(C88,'[1]Receipt Register'!$A$2:$B$133,2,FALSE)</f>
        <v>46090</v>
      </c>
    </row>
    <row r="89" spans="1:9" x14ac:dyDescent="0.25">
      <c r="A89" s="2">
        <v>46000</v>
      </c>
      <c r="B89" s="7">
        <v>1765255961896</v>
      </c>
      <c r="C89" s="25" t="s">
        <v>110</v>
      </c>
      <c r="D89" s="3" t="s">
        <v>85</v>
      </c>
      <c r="E89" s="3" t="s">
        <v>69</v>
      </c>
      <c r="F89" s="3">
        <v>2</v>
      </c>
      <c r="G89" s="4">
        <v>3.07</v>
      </c>
      <c r="H89" s="4">
        <v>319.67</v>
      </c>
      <c r="I89" s="2">
        <f>++VLOOKUP(C89,'[1]Receipt Register'!$A$2:$B$133,2,FALSE)</f>
        <v>46010</v>
      </c>
    </row>
    <row r="90" spans="1:9" x14ac:dyDescent="0.25">
      <c r="A90" s="2">
        <v>46000</v>
      </c>
      <c r="B90" s="7">
        <v>1765274047664</v>
      </c>
      <c r="C90" s="25" t="s">
        <v>111</v>
      </c>
      <c r="D90" s="6" t="s">
        <v>112</v>
      </c>
      <c r="E90" s="3" t="s">
        <v>26</v>
      </c>
      <c r="F90" s="3">
        <v>19</v>
      </c>
      <c r="G90" s="4">
        <v>38.700000000000003</v>
      </c>
      <c r="H90" s="4">
        <v>2915.79</v>
      </c>
      <c r="I90" s="2"/>
    </row>
    <row r="91" spans="1:9" x14ac:dyDescent="0.25">
      <c r="A91" s="2">
        <v>46000</v>
      </c>
      <c r="B91" s="7">
        <v>1765276523792</v>
      </c>
      <c r="C91" s="25" t="s">
        <v>113</v>
      </c>
      <c r="D91" s="3" t="s">
        <v>91</v>
      </c>
      <c r="E91" s="3" t="s">
        <v>26</v>
      </c>
      <c r="F91" s="3">
        <v>43</v>
      </c>
      <c r="G91" s="4">
        <v>10.82</v>
      </c>
      <c r="H91" s="4">
        <v>1648.99</v>
      </c>
      <c r="I91" s="2">
        <f>++VLOOKUP(C91,'[1]Receipt Register'!$A$2:$B$133,2,FALSE)</f>
        <v>46087</v>
      </c>
    </row>
    <row r="92" spans="1:9" x14ac:dyDescent="0.25">
      <c r="A92" s="2">
        <v>46000</v>
      </c>
      <c r="B92" s="7">
        <v>1765279393502</v>
      </c>
      <c r="C92" s="25" t="s">
        <v>114</v>
      </c>
      <c r="D92" s="3" t="s">
        <v>85</v>
      </c>
      <c r="E92" s="3" t="s">
        <v>69</v>
      </c>
      <c r="F92" s="3">
        <v>94</v>
      </c>
      <c r="G92" s="4">
        <v>97.35</v>
      </c>
      <c r="H92" s="4">
        <v>9385.86</v>
      </c>
      <c r="I92" s="2">
        <f>++VLOOKUP(C92,'[1]Receipt Register'!$A$2:$B$133,2,FALSE)</f>
        <v>46010</v>
      </c>
    </row>
    <row r="93" spans="1:9" x14ac:dyDescent="0.25">
      <c r="A93" s="2">
        <v>46000</v>
      </c>
      <c r="B93" s="7">
        <v>1765351470495</v>
      </c>
      <c r="C93" s="11" t="s">
        <v>115</v>
      </c>
      <c r="D93" s="3" t="s">
        <v>91</v>
      </c>
      <c r="E93" s="3" t="s">
        <v>69</v>
      </c>
      <c r="F93" s="3">
        <v>3</v>
      </c>
      <c r="G93" s="4">
        <v>5.35</v>
      </c>
      <c r="H93" s="4">
        <v>543.03</v>
      </c>
      <c r="I93" s="2">
        <f>++VLOOKUP(C93,'[1]Receipt Register'!$A$2:$B$133,2,FALSE)</f>
        <v>46087</v>
      </c>
    </row>
    <row r="94" spans="1:9" x14ac:dyDescent="0.25">
      <c r="A94" s="2">
        <v>46000</v>
      </c>
      <c r="B94" s="10">
        <v>1765363459013</v>
      </c>
      <c r="C94" s="11" t="s">
        <v>116</v>
      </c>
      <c r="D94" s="3" t="s">
        <v>91</v>
      </c>
      <c r="E94" s="3" t="s">
        <v>76</v>
      </c>
      <c r="F94" s="3">
        <v>52</v>
      </c>
      <c r="G94" s="4">
        <v>14.34</v>
      </c>
      <c r="H94" s="4">
        <v>3058.22</v>
      </c>
      <c r="I94" s="2">
        <f>++VLOOKUP(C94,'[1]Receipt Register'!$A$2:$B$133,2,FALSE)</f>
        <v>46087</v>
      </c>
    </row>
    <row r="95" spans="1:9" x14ac:dyDescent="0.25">
      <c r="A95" s="2">
        <v>46000</v>
      </c>
      <c r="B95" s="7">
        <v>1765368277303</v>
      </c>
      <c r="C95" s="11" t="s">
        <v>117</v>
      </c>
      <c r="D95" s="3" t="s">
        <v>85</v>
      </c>
      <c r="E95" s="3" t="s">
        <v>69</v>
      </c>
      <c r="F95" s="12">
        <v>2</v>
      </c>
      <c r="G95" s="4">
        <v>3.92</v>
      </c>
      <c r="H95" s="4">
        <v>404.94</v>
      </c>
      <c r="I95" s="2">
        <f>++VLOOKUP(C95,'[1]Receipt Register'!$A$2:$B$133,2,FALSE)</f>
        <v>46010</v>
      </c>
    </row>
    <row r="96" spans="1:9" x14ac:dyDescent="0.25">
      <c r="A96" s="2">
        <v>46002</v>
      </c>
      <c r="B96" s="7">
        <v>1765436966561</v>
      </c>
      <c r="C96" s="25" t="s">
        <v>118</v>
      </c>
      <c r="D96" s="3" t="s">
        <v>9</v>
      </c>
      <c r="E96" s="3" t="s">
        <v>26</v>
      </c>
      <c r="F96" s="12">
        <v>2577</v>
      </c>
      <c r="G96" s="4">
        <v>615.28</v>
      </c>
      <c r="H96" s="4">
        <v>49682.71</v>
      </c>
      <c r="I96" s="2">
        <v>46091</v>
      </c>
    </row>
    <row r="97" spans="1:9" x14ac:dyDescent="0.25">
      <c r="A97" s="2">
        <v>46003</v>
      </c>
      <c r="B97" s="7">
        <v>1765540912399</v>
      </c>
      <c r="C97" s="11" t="s">
        <v>119</v>
      </c>
      <c r="D97" s="3" t="s">
        <v>85</v>
      </c>
      <c r="E97" s="3" t="s">
        <v>69</v>
      </c>
      <c r="F97" s="3">
        <v>19</v>
      </c>
      <c r="G97" s="21">
        <v>37.17</v>
      </c>
      <c r="H97" s="4">
        <v>3705.73</v>
      </c>
      <c r="I97" s="2">
        <f>++VLOOKUP(C97,'[1]Receipt Register'!$A$2:$B$133,2,FALSE)</f>
        <v>46010</v>
      </c>
    </row>
    <row r="98" spans="1:9" x14ac:dyDescent="0.25">
      <c r="A98" s="2">
        <v>46006</v>
      </c>
      <c r="B98" s="7">
        <v>1765777296720</v>
      </c>
      <c r="C98" s="11" t="s">
        <v>120</v>
      </c>
      <c r="D98" s="3" t="s">
        <v>85</v>
      </c>
      <c r="E98" s="3" t="s">
        <v>69</v>
      </c>
      <c r="F98" s="3">
        <v>14</v>
      </c>
      <c r="G98" s="21">
        <v>28.4</v>
      </c>
      <c r="H98" s="4">
        <v>3001.34</v>
      </c>
      <c r="I98" s="2">
        <f>++VLOOKUP(C98,'[1]Receipt Register'!$A$2:$B$133,2,FALSE)</f>
        <v>46010</v>
      </c>
    </row>
    <row r="99" spans="1:9" x14ac:dyDescent="0.25">
      <c r="A99" s="2">
        <v>46006</v>
      </c>
      <c r="B99" s="7">
        <v>1765787768866</v>
      </c>
      <c r="C99" s="11" t="s">
        <v>121</v>
      </c>
      <c r="D99" s="3" t="s">
        <v>91</v>
      </c>
      <c r="E99" s="3" t="s">
        <v>69</v>
      </c>
      <c r="F99" s="3">
        <v>5</v>
      </c>
      <c r="G99" s="21">
        <v>7.15</v>
      </c>
      <c r="H99" s="4">
        <v>725.73</v>
      </c>
      <c r="I99" s="2">
        <f>++VLOOKUP(C99,'[1]Receipt Register'!$A$2:$B$133,2,FALSE)</f>
        <v>46090</v>
      </c>
    </row>
    <row r="100" spans="1:9" x14ac:dyDescent="0.25">
      <c r="A100" s="2">
        <v>46007</v>
      </c>
      <c r="B100" s="7">
        <v>1765873347857</v>
      </c>
      <c r="C100" s="11" t="s">
        <v>122</v>
      </c>
      <c r="D100" s="3" t="s">
        <v>91</v>
      </c>
      <c r="E100" s="3" t="s">
        <v>69</v>
      </c>
      <c r="F100" s="3">
        <v>2</v>
      </c>
      <c r="G100" s="21">
        <v>3.74</v>
      </c>
      <c r="H100" s="4">
        <v>392.5</v>
      </c>
      <c r="I100" s="2">
        <f>++VLOOKUP(C100,'[1]Receipt Register'!$A$2:$B$133,2,FALSE)</f>
        <v>46090</v>
      </c>
    </row>
    <row r="101" spans="1:9" x14ac:dyDescent="0.25">
      <c r="A101" s="2">
        <v>46007</v>
      </c>
      <c r="B101" s="7">
        <v>1765883971819</v>
      </c>
      <c r="C101" s="25" t="s">
        <v>123</v>
      </c>
      <c r="D101" s="3" t="s">
        <v>91</v>
      </c>
      <c r="E101" s="3" t="s">
        <v>76</v>
      </c>
      <c r="F101" s="3">
        <v>10</v>
      </c>
      <c r="G101" s="4">
        <v>346.56</v>
      </c>
      <c r="H101" s="4">
        <v>20230.98</v>
      </c>
      <c r="I101" s="2">
        <f>++VLOOKUP(C101,'[1]Receipt Register'!$A$2:$B$133,2,FALSE)</f>
        <v>46090</v>
      </c>
    </row>
    <row r="102" spans="1:9" x14ac:dyDescent="0.25">
      <c r="A102" s="2">
        <v>46008</v>
      </c>
      <c r="B102" s="7">
        <v>1765950644744</v>
      </c>
      <c r="C102" s="25" t="s">
        <v>124</v>
      </c>
      <c r="D102" s="6" t="s">
        <v>112</v>
      </c>
      <c r="E102" s="3" t="s">
        <v>26</v>
      </c>
      <c r="F102" s="3">
        <v>32</v>
      </c>
      <c r="G102" s="4">
        <v>65.05</v>
      </c>
      <c r="H102" s="4">
        <v>5186.18</v>
      </c>
      <c r="I102" s="2">
        <v>46013</v>
      </c>
    </row>
    <row r="103" spans="1:9" x14ac:dyDescent="0.25">
      <c r="A103" s="2">
        <v>46008</v>
      </c>
      <c r="B103" s="10">
        <v>1765959489643</v>
      </c>
      <c r="C103" s="25" t="s">
        <v>125</v>
      </c>
      <c r="D103" s="3" t="s">
        <v>9</v>
      </c>
      <c r="E103" s="3" t="s">
        <v>76</v>
      </c>
      <c r="F103" s="3">
        <v>6231</v>
      </c>
      <c r="G103" s="4">
        <v>717.84</v>
      </c>
      <c r="H103" s="4">
        <v>50486.32</v>
      </c>
      <c r="I103" s="2"/>
    </row>
    <row r="104" spans="1:9" x14ac:dyDescent="0.25">
      <c r="A104" s="2">
        <v>46008</v>
      </c>
      <c r="B104" s="7">
        <v>1765968632665</v>
      </c>
      <c r="C104" s="25" t="s">
        <v>126</v>
      </c>
      <c r="D104" s="5" t="s">
        <v>47</v>
      </c>
      <c r="E104" s="3" t="s">
        <v>10</v>
      </c>
      <c r="F104" s="3">
        <v>1</v>
      </c>
      <c r="G104" s="4">
        <v>2.17</v>
      </c>
      <c r="H104" s="4">
        <v>231.7</v>
      </c>
      <c r="I104" s="2"/>
    </row>
    <row r="105" spans="1:9" x14ac:dyDescent="0.25">
      <c r="A105" s="2">
        <v>46008</v>
      </c>
      <c r="B105" s="7">
        <v>1765970556963</v>
      </c>
      <c r="C105" s="25" t="s">
        <v>127</v>
      </c>
      <c r="D105" s="3" t="s">
        <v>128</v>
      </c>
      <c r="E105" s="3" t="s">
        <v>10</v>
      </c>
      <c r="F105" s="3">
        <v>2</v>
      </c>
      <c r="G105" s="4">
        <v>4.57</v>
      </c>
      <c r="H105" s="4">
        <v>635.67999999999995</v>
      </c>
      <c r="I105" s="2">
        <f>++VLOOKUP(C105,'[1]Receipt Register'!$A$2:$B$133,2,FALSE)</f>
        <v>46013</v>
      </c>
    </row>
    <row r="106" spans="1:9" x14ac:dyDescent="0.25">
      <c r="A106" s="2">
        <v>46008</v>
      </c>
      <c r="B106" s="7">
        <v>1765971750125</v>
      </c>
      <c r="C106" s="25" t="s">
        <v>129</v>
      </c>
      <c r="D106" s="3" t="s">
        <v>91</v>
      </c>
      <c r="E106" s="3" t="s">
        <v>26</v>
      </c>
      <c r="F106" s="3" t="s">
        <v>108</v>
      </c>
      <c r="G106" s="4">
        <v>240.27</v>
      </c>
      <c r="H106" s="4">
        <v>9879.24</v>
      </c>
      <c r="I106" s="2">
        <f>++VLOOKUP(C106,'[1]Receipt Register'!$A$2:$B$133,2,FALSE)</f>
        <v>46101</v>
      </c>
    </row>
    <row r="107" spans="1:9" x14ac:dyDescent="0.25">
      <c r="A107" s="2">
        <v>46009</v>
      </c>
      <c r="B107" s="7">
        <v>1766034378236</v>
      </c>
      <c r="C107" s="25" t="s">
        <v>130</v>
      </c>
      <c r="D107" s="3" t="s">
        <v>85</v>
      </c>
      <c r="E107" s="3" t="s">
        <v>69</v>
      </c>
      <c r="F107" s="3">
        <v>4</v>
      </c>
      <c r="G107" s="4">
        <v>6.08</v>
      </c>
      <c r="H107" s="4">
        <v>619.72</v>
      </c>
      <c r="I107" s="2">
        <f>++VLOOKUP(C107,'[1]Receipt Register'!$A$2:$B$133,2,FALSE)</f>
        <v>46021</v>
      </c>
    </row>
    <row r="108" spans="1:9" x14ac:dyDescent="0.25">
      <c r="A108" s="2">
        <v>46009</v>
      </c>
      <c r="B108" s="7">
        <v>1766051212215</v>
      </c>
      <c r="C108" s="25" t="s">
        <v>131</v>
      </c>
      <c r="D108" s="3" t="s">
        <v>91</v>
      </c>
      <c r="E108" s="3" t="s">
        <v>69</v>
      </c>
      <c r="F108" s="3">
        <v>15</v>
      </c>
      <c r="G108" s="4">
        <v>25.79</v>
      </c>
      <c r="H108" s="4">
        <v>2682.09</v>
      </c>
      <c r="I108" s="2">
        <f>++VLOOKUP(C108,'[1]Receipt Register'!$A$2:$B$133,2,FALSE)</f>
        <v>46101</v>
      </c>
    </row>
    <row r="109" spans="1:9" x14ac:dyDescent="0.25">
      <c r="A109" s="2">
        <v>46009</v>
      </c>
      <c r="B109" s="7">
        <v>1766053786118</v>
      </c>
      <c r="C109" s="25" t="s">
        <v>132</v>
      </c>
      <c r="D109" s="3" t="s">
        <v>91</v>
      </c>
      <c r="E109" s="3" t="s">
        <v>69</v>
      </c>
      <c r="F109" s="3">
        <v>1</v>
      </c>
      <c r="G109" s="4">
        <v>2</v>
      </c>
      <c r="H109" s="4">
        <v>767.08</v>
      </c>
      <c r="I109" s="2">
        <f>++VLOOKUP(C109,'[1]Receipt Register'!$A$2:$B$133,2,FALSE)</f>
        <v>46101</v>
      </c>
    </row>
    <row r="110" spans="1:9" x14ac:dyDescent="0.25">
      <c r="A110" s="2">
        <v>46010</v>
      </c>
      <c r="B110" s="7">
        <v>1766146131621</v>
      </c>
      <c r="C110" s="25" t="s">
        <v>133</v>
      </c>
      <c r="D110" s="3" t="s">
        <v>134</v>
      </c>
      <c r="E110" s="3" t="s">
        <v>26</v>
      </c>
      <c r="F110" s="3">
        <v>79</v>
      </c>
      <c r="G110" s="4">
        <v>118.29</v>
      </c>
      <c r="H110" s="4">
        <v>6843.67</v>
      </c>
      <c r="I110" s="2">
        <f>++VLOOKUP(C110,'[1]Receipt Register'!$A$2:$B$133,2,FALSE)</f>
        <v>46039</v>
      </c>
    </row>
    <row r="111" spans="1:9" x14ac:dyDescent="0.25">
      <c r="A111" s="2">
        <v>46011</v>
      </c>
      <c r="B111" s="7">
        <v>1766203580863</v>
      </c>
      <c r="C111" s="25" t="s">
        <v>135</v>
      </c>
      <c r="D111" s="3" t="s">
        <v>136</v>
      </c>
      <c r="E111" s="3" t="s">
        <v>26</v>
      </c>
      <c r="F111" s="3">
        <v>10</v>
      </c>
      <c r="G111" s="4">
        <v>7.62</v>
      </c>
      <c r="H111" s="4">
        <v>442.79</v>
      </c>
      <c r="I111" s="2">
        <f>++VLOOKUP(C111,'[1]Receipt Register'!$A$2:$B$133,2,FALSE)</f>
        <v>46074</v>
      </c>
    </row>
    <row r="112" spans="1:9" x14ac:dyDescent="0.25">
      <c r="A112" s="2">
        <v>46015</v>
      </c>
      <c r="B112" s="7">
        <v>1766551821853</v>
      </c>
      <c r="C112" s="25" t="s">
        <v>137</v>
      </c>
      <c r="D112" s="6" t="s">
        <v>112</v>
      </c>
      <c r="E112" s="3" t="s">
        <v>26</v>
      </c>
      <c r="F112" s="3">
        <v>5</v>
      </c>
      <c r="G112" s="4">
        <v>15.33</v>
      </c>
      <c r="H112" s="4">
        <v>1466.21</v>
      </c>
      <c r="I112" s="2">
        <v>46022</v>
      </c>
    </row>
    <row r="113" spans="1:9" x14ac:dyDescent="0.25">
      <c r="A113" s="2">
        <v>46015</v>
      </c>
      <c r="B113" s="7">
        <v>1766576907908</v>
      </c>
      <c r="C113" s="25" t="s">
        <v>138</v>
      </c>
      <c r="D113" s="3" t="s">
        <v>85</v>
      </c>
      <c r="E113" s="3" t="s">
        <v>69</v>
      </c>
      <c r="F113" s="3">
        <v>22</v>
      </c>
      <c r="G113" s="4">
        <v>22.75</v>
      </c>
      <c r="H113" s="4">
        <v>2039.9</v>
      </c>
      <c r="I113" s="2">
        <f>++VLOOKUP(C113,'[1]Receipt Register'!$A$2:$B$133,2,FALSE)</f>
        <v>46021</v>
      </c>
    </row>
    <row r="114" spans="1:9" x14ac:dyDescent="0.25">
      <c r="A114" s="2">
        <v>46017</v>
      </c>
      <c r="B114" s="7" t="s">
        <v>139</v>
      </c>
      <c r="C114" s="25" t="s">
        <v>140</v>
      </c>
      <c r="D114" s="3" t="s">
        <v>141</v>
      </c>
      <c r="E114" s="3" t="s">
        <v>26</v>
      </c>
      <c r="F114" s="3">
        <v>229</v>
      </c>
      <c r="G114" s="4">
        <v>49.62</v>
      </c>
      <c r="H114" s="4">
        <v>2665.08</v>
      </c>
      <c r="I114" s="2">
        <f>++VLOOKUP(C114,'[1]Receipt Register'!$A$2:$B$133,2,FALSE)</f>
        <v>46022</v>
      </c>
    </row>
    <row r="115" spans="1:9" x14ac:dyDescent="0.25">
      <c r="A115" s="2">
        <v>46020</v>
      </c>
      <c r="B115" s="7">
        <v>1766999192899</v>
      </c>
      <c r="C115" s="25" t="s">
        <v>142</v>
      </c>
      <c r="D115" s="3" t="s">
        <v>85</v>
      </c>
      <c r="E115" s="3" t="s">
        <v>69</v>
      </c>
      <c r="F115" s="3">
        <v>24</v>
      </c>
      <c r="G115" s="4">
        <v>24.65</v>
      </c>
      <c r="H115" s="4">
        <v>2213.56</v>
      </c>
      <c r="I115" s="2">
        <f>++VLOOKUP(C115,'[1]Receipt Register'!$A$2:$B$133,2,FALSE)</f>
        <v>46031</v>
      </c>
    </row>
    <row r="116" spans="1:9" x14ac:dyDescent="0.25">
      <c r="A116" s="2">
        <v>46021</v>
      </c>
      <c r="B116" s="7">
        <v>1767072910068</v>
      </c>
      <c r="C116" s="25" t="s">
        <v>143</v>
      </c>
      <c r="D116" s="3" t="s">
        <v>85</v>
      </c>
      <c r="E116" s="3" t="s">
        <v>69</v>
      </c>
      <c r="F116" s="3">
        <v>10</v>
      </c>
      <c r="G116" s="4">
        <v>10.66</v>
      </c>
      <c r="H116" s="4">
        <v>979.08</v>
      </c>
      <c r="I116" s="2">
        <f>++VLOOKUP(C116,'[1]Receipt Register'!$A$2:$B$133,2,FALSE)</f>
        <v>46031</v>
      </c>
    </row>
    <row r="117" spans="1:9" x14ac:dyDescent="0.25">
      <c r="A117" s="2">
        <v>46021</v>
      </c>
      <c r="B117" s="7">
        <v>1767078243758</v>
      </c>
      <c r="C117" s="25" t="s">
        <v>144</v>
      </c>
      <c r="D117" s="3" t="s">
        <v>9</v>
      </c>
      <c r="E117" s="3" t="s">
        <v>76</v>
      </c>
      <c r="F117" s="3">
        <v>1962</v>
      </c>
      <c r="G117" s="4">
        <v>525.16</v>
      </c>
      <c r="H117" s="4">
        <v>38562.06</v>
      </c>
      <c r="I117" s="2"/>
    </row>
    <row r="118" spans="1:9" x14ac:dyDescent="0.25">
      <c r="A118" s="2">
        <v>46021</v>
      </c>
      <c r="B118" s="7">
        <v>1767089156673</v>
      </c>
      <c r="C118" s="25" t="s">
        <v>145</v>
      </c>
      <c r="D118" s="5" t="s">
        <v>47</v>
      </c>
      <c r="E118" s="3" t="s">
        <v>76</v>
      </c>
      <c r="F118" s="3">
        <v>11</v>
      </c>
      <c r="G118" s="4">
        <v>17.75</v>
      </c>
      <c r="H118" s="4">
        <v>2243.6799999999998</v>
      </c>
      <c r="I118" s="2">
        <f>++VLOOKUP(C118,'[1]Receipt Register'!$A$2:$B$133,2,FALSE)</f>
        <v>46029</v>
      </c>
    </row>
    <row r="119" spans="1:9" x14ac:dyDescent="0.25">
      <c r="A119" s="2">
        <v>46024</v>
      </c>
      <c r="B119" s="7">
        <v>1767345489080</v>
      </c>
      <c r="C119" s="25" t="s">
        <v>146</v>
      </c>
      <c r="D119" s="3" t="s">
        <v>85</v>
      </c>
      <c r="E119" s="3" t="s">
        <v>69</v>
      </c>
      <c r="F119" s="3">
        <v>2</v>
      </c>
      <c r="G119" s="4">
        <v>3.11</v>
      </c>
      <c r="H119" s="4">
        <v>318.39</v>
      </c>
      <c r="I119" s="2">
        <f>++VLOOKUP(C119,'[1]Receipt Register'!$A$2:$B$133,2,FALSE)</f>
        <v>46031</v>
      </c>
    </row>
    <row r="120" spans="1:9" x14ac:dyDescent="0.25">
      <c r="A120" s="2">
        <v>46027</v>
      </c>
      <c r="B120" s="7">
        <v>1768564395326</v>
      </c>
      <c r="C120" s="25" t="s">
        <v>147</v>
      </c>
      <c r="D120" s="3" t="s">
        <v>9</v>
      </c>
      <c r="E120" s="3" t="s">
        <v>76</v>
      </c>
      <c r="F120" s="3">
        <v>3979</v>
      </c>
      <c r="G120" s="4">
        <v>1002.48</v>
      </c>
      <c r="H120" s="4">
        <v>91794.78</v>
      </c>
      <c r="I120" s="2"/>
    </row>
    <row r="121" spans="1:9" x14ac:dyDescent="0.25">
      <c r="A121" s="2">
        <v>46028</v>
      </c>
      <c r="B121" s="7">
        <v>1768564220278</v>
      </c>
      <c r="C121" s="25" t="s">
        <v>148</v>
      </c>
      <c r="D121" s="3" t="s">
        <v>149</v>
      </c>
      <c r="E121" s="3" t="s">
        <v>76</v>
      </c>
      <c r="F121" s="3">
        <v>6</v>
      </c>
      <c r="G121" s="4">
        <v>26.14</v>
      </c>
      <c r="H121" s="4">
        <v>3424.46</v>
      </c>
      <c r="I121" s="2">
        <v>46029</v>
      </c>
    </row>
    <row r="122" spans="1:9" x14ac:dyDescent="0.25">
      <c r="A122" s="2">
        <v>46029</v>
      </c>
      <c r="B122" s="7">
        <v>1767761754836</v>
      </c>
      <c r="C122" s="25" t="s">
        <v>150</v>
      </c>
      <c r="D122" s="3" t="s">
        <v>85</v>
      </c>
      <c r="E122" s="3" t="s">
        <v>69</v>
      </c>
      <c r="F122" s="3">
        <v>10</v>
      </c>
      <c r="G122" s="4">
        <v>10.27</v>
      </c>
      <c r="H122" s="4">
        <v>922.26</v>
      </c>
      <c r="I122" s="2">
        <f>++VLOOKUP(C122,'[1]Receipt Register'!$A$2:$B$133,2,FALSE)</f>
        <v>46042</v>
      </c>
    </row>
    <row r="123" spans="1:9" x14ac:dyDescent="0.25">
      <c r="A123" s="2">
        <v>46029</v>
      </c>
      <c r="B123" s="7" t="s">
        <v>151</v>
      </c>
      <c r="C123" s="25" t="s">
        <v>152</v>
      </c>
      <c r="D123" s="3" t="s">
        <v>85</v>
      </c>
      <c r="E123" s="3" t="s">
        <v>26</v>
      </c>
      <c r="F123" s="3">
        <v>18</v>
      </c>
      <c r="G123" s="4">
        <v>35.32</v>
      </c>
      <c r="H123" s="4">
        <v>3154.78</v>
      </c>
      <c r="I123" s="2">
        <f>++VLOOKUP(C123,'[1]Receipt Register'!$A$2:$B$133,2,FALSE)</f>
        <v>46042</v>
      </c>
    </row>
    <row r="124" spans="1:9" x14ac:dyDescent="0.25">
      <c r="A124" s="2">
        <v>46030</v>
      </c>
      <c r="B124" s="7">
        <v>1767854526197</v>
      </c>
      <c r="C124" s="25" t="s">
        <v>153</v>
      </c>
      <c r="D124" s="3" t="s">
        <v>85</v>
      </c>
      <c r="E124" s="3" t="s">
        <v>69</v>
      </c>
      <c r="F124" s="3">
        <v>22</v>
      </c>
      <c r="G124" s="4">
        <v>23.44</v>
      </c>
      <c r="H124" s="4">
        <v>2088.2199999999998</v>
      </c>
      <c r="I124" s="2">
        <f>++VLOOKUP(C124,'[1]Receipt Register'!$A$2:$B$133,2,FALSE)</f>
        <v>46042</v>
      </c>
    </row>
    <row r="125" spans="1:9" x14ac:dyDescent="0.25">
      <c r="A125" s="2">
        <v>46031</v>
      </c>
      <c r="B125" s="7">
        <v>1767942212106</v>
      </c>
      <c r="C125" s="25" t="s">
        <v>154</v>
      </c>
      <c r="D125" s="3" t="s">
        <v>9</v>
      </c>
      <c r="E125" s="3" t="s">
        <v>76</v>
      </c>
      <c r="F125" s="3">
        <v>9673</v>
      </c>
      <c r="G125" s="4">
        <v>1295.47</v>
      </c>
      <c r="H125" s="4">
        <v>110278.39999999999</v>
      </c>
      <c r="I125" s="2"/>
    </row>
    <row r="126" spans="1:9" x14ac:dyDescent="0.25">
      <c r="A126" s="2">
        <v>46031</v>
      </c>
      <c r="B126" s="7">
        <v>1767950106976</v>
      </c>
      <c r="C126" s="25" t="s">
        <v>155</v>
      </c>
      <c r="D126" s="3" t="s">
        <v>91</v>
      </c>
      <c r="E126" s="3" t="s">
        <v>69</v>
      </c>
      <c r="F126" s="3">
        <v>49</v>
      </c>
      <c r="G126" s="3">
        <v>76.97</v>
      </c>
      <c r="H126" s="4">
        <v>7914.87</v>
      </c>
      <c r="I126" s="2">
        <f>++VLOOKUP(C126,'[1]Receipt Register'!$A$2:$B$133,2,FALSE)</f>
        <v>46101</v>
      </c>
    </row>
    <row r="127" spans="1:9" x14ac:dyDescent="0.25">
      <c r="A127" s="2">
        <v>46034</v>
      </c>
      <c r="B127" s="7">
        <v>1768212473871</v>
      </c>
      <c r="C127" s="25" t="s">
        <v>156</v>
      </c>
      <c r="D127" s="3" t="s">
        <v>91</v>
      </c>
      <c r="E127" s="3" t="s">
        <v>10</v>
      </c>
      <c r="F127" s="3">
        <v>1</v>
      </c>
      <c r="G127" s="3">
        <v>1.53</v>
      </c>
      <c r="H127" s="4">
        <v>155.30000000000001</v>
      </c>
      <c r="I127" s="2">
        <f>++VLOOKUP(C127,'[1]Receipt Register'!$A$2:$B$133,2,FALSE)</f>
        <v>46101</v>
      </c>
    </row>
    <row r="128" spans="1:9" x14ac:dyDescent="0.25">
      <c r="A128" s="2">
        <v>46035</v>
      </c>
      <c r="B128" s="7" t="s">
        <v>157</v>
      </c>
      <c r="C128" s="25" t="s">
        <v>158</v>
      </c>
      <c r="D128" s="6" t="s">
        <v>159</v>
      </c>
      <c r="E128" s="3" t="s">
        <v>26</v>
      </c>
      <c r="F128" s="3">
        <v>15</v>
      </c>
      <c r="G128" s="3">
        <v>30.91</v>
      </c>
      <c r="H128" s="4">
        <v>2844.31</v>
      </c>
      <c r="I128" s="2">
        <v>46065</v>
      </c>
    </row>
    <row r="129" spans="1:9" x14ac:dyDescent="0.25">
      <c r="A129" s="2">
        <v>46036</v>
      </c>
      <c r="B129" s="7" t="s">
        <v>160</v>
      </c>
      <c r="C129" s="25" t="s">
        <v>161</v>
      </c>
      <c r="D129" s="3" t="s">
        <v>162</v>
      </c>
      <c r="E129" s="3" t="s">
        <v>26</v>
      </c>
      <c r="F129" s="3">
        <v>2</v>
      </c>
      <c r="G129" s="3">
        <v>2.04</v>
      </c>
      <c r="H129" s="4">
        <v>414.12</v>
      </c>
      <c r="I129" s="2">
        <v>46108</v>
      </c>
    </row>
    <row r="130" spans="1:9" x14ac:dyDescent="0.25">
      <c r="A130" s="2">
        <v>46037</v>
      </c>
      <c r="B130" s="7" t="s">
        <v>163</v>
      </c>
      <c r="C130" s="25" t="s">
        <v>164</v>
      </c>
      <c r="D130" s="6" t="s">
        <v>159</v>
      </c>
      <c r="E130" s="3" t="s">
        <v>26</v>
      </c>
      <c r="F130" s="3">
        <v>29</v>
      </c>
      <c r="G130" s="3">
        <v>59.67</v>
      </c>
      <c r="H130" s="4">
        <v>5463.05</v>
      </c>
      <c r="I130" s="2">
        <v>46069</v>
      </c>
    </row>
    <row r="131" spans="1:9" x14ac:dyDescent="0.25">
      <c r="A131" s="2">
        <v>46038</v>
      </c>
      <c r="B131" s="7">
        <v>1768549051121</v>
      </c>
      <c r="C131" s="25" t="s">
        <v>165</v>
      </c>
      <c r="D131" s="3" t="s">
        <v>9</v>
      </c>
      <c r="E131" s="3" t="s">
        <v>76</v>
      </c>
      <c r="F131" s="3">
        <v>981</v>
      </c>
      <c r="G131" s="3">
        <v>667.6</v>
      </c>
      <c r="H131" s="4">
        <v>77617.48</v>
      </c>
      <c r="I131" s="2"/>
    </row>
    <row r="132" spans="1:9" x14ac:dyDescent="0.25">
      <c r="A132" s="2">
        <v>46038</v>
      </c>
      <c r="B132" s="7">
        <v>1768553163953</v>
      </c>
      <c r="C132" s="25" t="s">
        <v>166</v>
      </c>
      <c r="D132" s="5" t="s">
        <v>47</v>
      </c>
      <c r="E132" s="3" t="s">
        <v>76</v>
      </c>
      <c r="F132" s="3">
        <v>15</v>
      </c>
      <c r="G132" s="3">
        <v>5.57</v>
      </c>
      <c r="H132" s="4">
        <v>536.22</v>
      </c>
      <c r="I132" s="2">
        <f>++VLOOKUP(C132,'[1]Receipt Register'!$A$2:$B$133,2,FALSE)</f>
        <v>46041</v>
      </c>
    </row>
    <row r="133" spans="1:9" x14ac:dyDescent="0.25">
      <c r="A133" s="2">
        <v>46039</v>
      </c>
      <c r="B133" s="7">
        <v>1768621283318</v>
      </c>
      <c r="C133" s="25" t="s">
        <v>167</v>
      </c>
      <c r="D133" s="3" t="s">
        <v>85</v>
      </c>
      <c r="E133" s="3" t="s">
        <v>69</v>
      </c>
      <c r="F133" s="3">
        <v>2</v>
      </c>
      <c r="G133" s="3">
        <v>6.14</v>
      </c>
      <c r="H133" s="4">
        <v>621.78</v>
      </c>
      <c r="I133" s="2">
        <f>++VLOOKUP(C133,'[1]Receipt Register'!$A$2:$B$133,2,FALSE)</f>
        <v>46052</v>
      </c>
    </row>
    <row r="134" spans="1:9" x14ac:dyDescent="0.25">
      <c r="A134" s="2">
        <v>46039</v>
      </c>
      <c r="B134" s="7">
        <v>1768646835727</v>
      </c>
      <c r="C134" s="25" t="s">
        <v>168</v>
      </c>
      <c r="D134" s="3" t="s">
        <v>85</v>
      </c>
      <c r="E134" s="3" t="s">
        <v>69</v>
      </c>
      <c r="F134" s="3">
        <v>6</v>
      </c>
      <c r="G134" s="3">
        <v>18.329999999999998</v>
      </c>
      <c r="H134" s="3">
        <v>1857.1</v>
      </c>
      <c r="I134" s="2">
        <f>++VLOOKUP(C134,'[1]Receipt Register'!$A$2:$B$133,2,FALSE)</f>
        <v>46052</v>
      </c>
    </row>
    <row r="135" spans="1:9" x14ac:dyDescent="0.25">
      <c r="A135" s="2">
        <v>46041</v>
      </c>
      <c r="B135" s="7">
        <v>1768818020173</v>
      </c>
      <c r="C135" s="25" t="s">
        <v>169</v>
      </c>
      <c r="D135" s="3" t="s">
        <v>85</v>
      </c>
      <c r="E135" s="3" t="s">
        <v>69</v>
      </c>
      <c r="F135" s="3">
        <v>55</v>
      </c>
      <c r="G135" s="3">
        <v>138.54</v>
      </c>
      <c r="H135" s="3">
        <v>14152.83</v>
      </c>
      <c r="I135" s="2">
        <f>++VLOOKUP(C135,'[1]Receipt Register'!$A$2:$B$133,2,FALSE)</f>
        <v>46052</v>
      </c>
    </row>
    <row r="136" spans="1:9" x14ac:dyDescent="0.25">
      <c r="A136" s="2">
        <v>46042</v>
      </c>
      <c r="B136" s="7">
        <v>1768903523047</v>
      </c>
      <c r="C136" s="25" t="s">
        <v>170</v>
      </c>
      <c r="D136" s="3" t="s">
        <v>91</v>
      </c>
      <c r="E136" s="3" t="s">
        <v>69</v>
      </c>
      <c r="F136" s="3">
        <v>15</v>
      </c>
      <c r="G136" s="3">
        <v>15.11</v>
      </c>
      <c r="H136" s="3">
        <v>1641.02</v>
      </c>
      <c r="I136" s="2">
        <f>++VLOOKUP(C136,'[1]Receipt Register'!$A$2:$B$133,2,FALSE)</f>
        <v>46106</v>
      </c>
    </row>
    <row r="137" spans="1:9" x14ac:dyDescent="0.25">
      <c r="A137" s="2">
        <v>46043</v>
      </c>
      <c r="B137" s="7" t="s">
        <v>171</v>
      </c>
      <c r="C137" s="25" t="s">
        <v>172</v>
      </c>
      <c r="D137" s="6" t="s">
        <v>159</v>
      </c>
      <c r="E137" s="3" t="s">
        <v>26</v>
      </c>
      <c r="F137" s="3">
        <v>15</v>
      </c>
      <c r="G137" s="3">
        <v>30.84</v>
      </c>
      <c r="H137" s="3">
        <v>2770.95</v>
      </c>
      <c r="I137" s="2">
        <v>46073</v>
      </c>
    </row>
    <row r="138" spans="1:9" x14ac:dyDescent="0.25">
      <c r="A138" s="2">
        <v>46044</v>
      </c>
      <c r="B138" s="7" t="s">
        <v>173</v>
      </c>
      <c r="C138" s="25" t="s">
        <v>174</v>
      </c>
      <c r="D138" s="6" t="s">
        <v>159</v>
      </c>
      <c r="E138" s="3" t="s">
        <v>26</v>
      </c>
      <c r="F138" s="3">
        <v>14</v>
      </c>
      <c r="G138" s="3">
        <v>28.7</v>
      </c>
      <c r="H138" s="3">
        <v>2605.02</v>
      </c>
      <c r="I138" s="2">
        <v>46074</v>
      </c>
    </row>
    <row r="139" spans="1:9" x14ac:dyDescent="0.25">
      <c r="A139" s="2">
        <v>46045</v>
      </c>
      <c r="B139" s="7">
        <v>1769144523588</v>
      </c>
      <c r="C139" s="25" t="s">
        <v>175</v>
      </c>
      <c r="D139" s="3" t="s">
        <v>85</v>
      </c>
      <c r="E139" s="3" t="s">
        <v>69</v>
      </c>
      <c r="F139" s="3">
        <v>155</v>
      </c>
      <c r="G139" s="3">
        <v>319.95</v>
      </c>
      <c r="H139" s="3">
        <v>31973.94</v>
      </c>
      <c r="I139" s="2">
        <f>++VLOOKUP(C139,'[1]Receipt Register'!$A$2:$B$133,2,FALSE)</f>
        <v>46052</v>
      </c>
    </row>
    <row r="140" spans="1:9" x14ac:dyDescent="0.25">
      <c r="A140" s="2">
        <v>46045</v>
      </c>
      <c r="B140" s="7">
        <v>1769154000656</v>
      </c>
      <c r="C140" s="25" t="s">
        <v>176</v>
      </c>
      <c r="D140" s="3" t="s">
        <v>9</v>
      </c>
      <c r="E140" s="3" t="s">
        <v>76</v>
      </c>
      <c r="F140" s="3">
        <v>3493</v>
      </c>
      <c r="G140" s="3">
        <v>1052.29</v>
      </c>
      <c r="H140" s="3">
        <v>88576.34</v>
      </c>
      <c r="I140" s="2"/>
    </row>
    <row r="141" spans="1:9" x14ac:dyDescent="0.25">
      <c r="A141" s="2">
        <v>46049</v>
      </c>
      <c r="B141" s="7" t="s">
        <v>177</v>
      </c>
      <c r="C141" s="25" t="s">
        <v>178</v>
      </c>
      <c r="D141" s="3" t="s">
        <v>162</v>
      </c>
      <c r="E141" s="3" t="s">
        <v>26</v>
      </c>
      <c r="F141" s="3">
        <v>3</v>
      </c>
      <c r="G141" s="3">
        <v>3.32</v>
      </c>
      <c r="H141" s="3">
        <v>673.96</v>
      </c>
      <c r="I141" s="2">
        <v>46108</v>
      </c>
    </row>
    <row r="142" spans="1:9" x14ac:dyDescent="0.25">
      <c r="A142" s="2">
        <v>46049</v>
      </c>
      <c r="B142" s="7">
        <v>1769523497121</v>
      </c>
      <c r="C142" s="25" t="s">
        <v>179</v>
      </c>
      <c r="D142" s="3" t="s">
        <v>180</v>
      </c>
      <c r="E142" s="3" t="s">
        <v>10</v>
      </c>
      <c r="F142" s="3">
        <v>6</v>
      </c>
      <c r="G142" s="3">
        <v>8.2799999999999994</v>
      </c>
      <c r="H142" s="3">
        <v>1638.12</v>
      </c>
      <c r="I142" s="3"/>
    </row>
    <row r="143" spans="1:9" x14ac:dyDescent="0.25">
      <c r="A143" s="2">
        <v>46050</v>
      </c>
      <c r="B143" s="7">
        <v>1769590036194</v>
      </c>
      <c r="C143" s="25" t="s">
        <v>181</v>
      </c>
      <c r="D143" s="3" t="s">
        <v>85</v>
      </c>
      <c r="E143" s="3" t="s">
        <v>69</v>
      </c>
      <c r="F143" s="3">
        <v>3</v>
      </c>
      <c r="G143" s="3">
        <v>7.07</v>
      </c>
      <c r="H143" s="3">
        <v>710.65</v>
      </c>
      <c r="I143" s="2">
        <f>++VLOOKUP(C143,'[1]Receipt Register'!$A$2:$B$133,2,FALSE)</f>
        <v>46063</v>
      </c>
    </row>
    <row r="144" spans="1:9" x14ac:dyDescent="0.25">
      <c r="A144" s="2">
        <v>46050</v>
      </c>
      <c r="B144" s="7" t="s">
        <v>182</v>
      </c>
      <c r="C144" s="25" t="s">
        <v>183</v>
      </c>
      <c r="D144" s="3" t="s">
        <v>184</v>
      </c>
      <c r="E144" s="3" t="s">
        <v>26</v>
      </c>
      <c r="F144" s="3">
        <v>178</v>
      </c>
      <c r="G144" s="3">
        <v>4.4800000000000004</v>
      </c>
      <c r="H144" s="3">
        <v>293.95999999999998</v>
      </c>
      <c r="I144" s="2"/>
    </row>
    <row r="145" spans="1:9" x14ac:dyDescent="0.25">
      <c r="A145" s="2">
        <v>46051</v>
      </c>
      <c r="B145" s="7">
        <v>1769671334962</v>
      </c>
      <c r="C145" s="25" t="s">
        <v>185</v>
      </c>
      <c r="D145" s="3" t="s">
        <v>9</v>
      </c>
      <c r="E145" s="3" t="s">
        <v>76</v>
      </c>
      <c r="F145" s="3">
        <v>47490</v>
      </c>
      <c r="G145" s="3">
        <v>1511.4</v>
      </c>
      <c r="H145" s="3">
        <v>111547.31</v>
      </c>
      <c r="I145" s="2"/>
    </row>
    <row r="146" spans="1:9" x14ac:dyDescent="0.25">
      <c r="A146" s="2">
        <v>46051</v>
      </c>
      <c r="B146" s="7" t="s">
        <v>186</v>
      </c>
      <c r="C146" s="25" t="s">
        <v>187</v>
      </c>
      <c r="D146" s="3" t="s">
        <v>162</v>
      </c>
      <c r="E146" s="3" t="s">
        <v>26</v>
      </c>
      <c r="F146" s="3">
        <v>11</v>
      </c>
      <c r="G146" s="3">
        <v>11.44</v>
      </c>
      <c r="H146" s="3">
        <v>2496.4899999999998</v>
      </c>
      <c r="I146" s="2">
        <v>46108</v>
      </c>
    </row>
    <row r="147" spans="1:9" x14ac:dyDescent="0.25">
      <c r="A147" s="2">
        <v>46051</v>
      </c>
      <c r="B147" s="7" t="s">
        <v>188</v>
      </c>
      <c r="C147" s="25" t="s">
        <v>189</v>
      </c>
      <c r="D147" s="3" t="s">
        <v>162</v>
      </c>
      <c r="E147" s="3" t="s">
        <v>26</v>
      </c>
      <c r="F147" s="3">
        <v>5</v>
      </c>
      <c r="G147" s="3">
        <v>5.15</v>
      </c>
      <c r="H147" s="3">
        <v>1123.8599999999999</v>
      </c>
      <c r="I147" s="2">
        <v>46108</v>
      </c>
    </row>
    <row r="148" spans="1:9" x14ac:dyDescent="0.25">
      <c r="A148" s="2">
        <v>46051</v>
      </c>
      <c r="B148" s="7">
        <v>1769686510417</v>
      </c>
      <c r="C148" s="25" t="s">
        <v>190</v>
      </c>
      <c r="D148" s="3" t="s">
        <v>91</v>
      </c>
      <c r="E148" s="3" t="s">
        <v>69</v>
      </c>
      <c r="F148" s="3">
        <v>41</v>
      </c>
      <c r="G148" s="3">
        <v>43.34</v>
      </c>
      <c r="H148" s="3">
        <v>4706.9399999999996</v>
      </c>
      <c r="I148" s="2">
        <f>++VLOOKUP(C148,'[1]Receipt Register'!$A$2:$B$133,2,FALSE)</f>
        <v>46106</v>
      </c>
    </row>
    <row r="149" spans="1:9" x14ac:dyDescent="0.25">
      <c r="A149" s="2">
        <v>46052</v>
      </c>
      <c r="B149" s="7">
        <v>1769721928564</v>
      </c>
      <c r="C149" s="25" t="s">
        <v>191</v>
      </c>
      <c r="D149" s="3" t="s">
        <v>149</v>
      </c>
      <c r="E149" s="3" t="s">
        <v>10</v>
      </c>
      <c r="F149" s="3">
        <v>17</v>
      </c>
      <c r="G149" s="3">
        <v>53.66</v>
      </c>
      <c r="H149" s="3">
        <v>7515.18</v>
      </c>
      <c r="I149" s="2">
        <v>46057</v>
      </c>
    </row>
    <row r="150" spans="1:9" x14ac:dyDescent="0.25">
      <c r="A150" s="2">
        <v>46052</v>
      </c>
      <c r="B150" s="7" t="s">
        <v>192</v>
      </c>
      <c r="C150" s="25" t="s">
        <v>193</v>
      </c>
      <c r="D150" s="3" t="s">
        <v>162</v>
      </c>
      <c r="E150" s="3" t="s">
        <v>26</v>
      </c>
      <c r="F150" s="3">
        <v>76</v>
      </c>
      <c r="G150" s="3">
        <v>155.24</v>
      </c>
      <c r="H150" s="3">
        <v>14350.99</v>
      </c>
      <c r="I150" s="2">
        <v>46108</v>
      </c>
    </row>
    <row r="151" spans="1:9" x14ac:dyDescent="0.25">
      <c r="A151" s="2">
        <v>46052</v>
      </c>
      <c r="B151" s="7" t="s">
        <v>194</v>
      </c>
      <c r="C151" s="25" t="s">
        <v>195</v>
      </c>
      <c r="D151" s="3" t="s">
        <v>196</v>
      </c>
      <c r="E151" s="3" t="s">
        <v>26</v>
      </c>
      <c r="F151" s="3">
        <v>0</v>
      </c>
      <c r="G151" s="3">
        <v>79.62</v>
      </c>
      <c r="H151" s="3">
        <v>2479.38</v>
      </c>
      <c r="I151" s="2">
        <f>++VLOOKUP(C151,'[1]Receipt Register'!$A$2:$B$133,2,FALSE)</f>
        <v>46059</v>
      </c>
    </row>
    <row r="152" spans="1:9" x14ac:dyDescent="0.25">
      <c r="A152" s="2">
        <v>46053</v>
      </c>
      <c r="B152" s="7">
        <v>1769831181799</v>
      </c>
      <c r="C152" s="25" t="s">
        <v>197</v>
      </c>
      <c r="D152" s="3" t="s">
        <v>85</v>
      </c>
      <c r="E152" s="3" t="s">
        <v>69</v>
      </c>
      <c r="F152" s="3">
        <v>13</v>
      </c>
      <c r="G152" s="3">
        <v>26.67</v>
      </c>
      <c r="H152" s="3">
        <v>2761.09</v>
      </c>
      <c r="I152" s="2">
        <f>++VLOOKUP(C152,'[1]Receipt Register'!$A$2:$B$133,2,FALSE)</f>
        <v>46063</v>
      </c>
    </row>
    <row r="153" spans="1:9" x14ac:dyDescent="0.25">
      <c r="A153" s="2">
        <v>46053</v>
      </c>
      <c r="B153" s="7">
        <v>1769849396616</v>
      </c>
      <c r="C153" s="25" t="s">
        <v>198</v>
      </c>
      <c r="D153" s="3" t="s">
        <v>91</v>
      </c>
      <c r="E153" s="3" t="s">
        <v>69</v>
      </c>
      <c r="F153" s="3">
        <v>60</v>
      </c>
      <c r="G153" s="3">
        <v>63.65</v>
      </c>
      <c r="H153" s="3">
        <v>6912.71</v>
      </c>
      <c r="I153" s="2">
        <f>++VLOOKUP(C153,'[1]Receipt Register'!$A$2:$B$133,2,FALSE)</f>
        <v>46106</v>
      </c>
    </row>
    <row r="154" spans="1:9" x14ac:dyDescent="0.25">
      <c r="A154" s="2">
        <v>46053</v>
      </c>
      <c r="B154" s="7" t="s">
        <v>199</v>
      </c>
      <c r="C154" s="25" t="s">
        <v>200</v>
      </c>
      <c r="D154" s="3" t="s">
        <v>162</v>
      </c>
      <c r="E154" s="3" t="s">
        <v>26</v>
      </c>
      <c r="F154" s="3">
        <v>2</v>
      </c>
      <c r="G154" s="3">
        <v>6.09</v>
      </c>
      <c r="H154" s="3">
        <v>624.32000000000005</v>
      </c>
      <c r="I154" s="2">
        <v>46108</v>
      </c>
    </row>
    <row r="155" spans="1:9" x14ac:dyDescent="0.25">
      <c r="A155" s="2">
        <v>46056</v>
      </c>
      <c r="B155" s="7">
        <v>1770090671655</v>
      </c>
      <c r="C155" s="25" t="s">
        <v>201</v>
      </c>
      <c r="D155" s="3" t="s">
        <v>85</v>
      </c>
      <c r="E155" s="3" t="s">
        <v>69</v>
      </c>
      <c r="F155" s="3">
        <v>19</v>
      </c>
      <c r="G155" s="3">
        <v>37.11</v>
      </c>
      <c r="H155" s="3">
        <v>3700.47</v>
      </c>
      <c r="I155" s="2">
        <f>++VLOOKUP(C155,'[1]Receipt Register'!$A$2:$B$133,2,FALSE)</f>
        <v>46063</v>
      </c>
    </row>
    <row r="156" spans="1:9" x14ac:dyDescent="0.25">
      <c r="A156" s="2">
        <v>46056</v>
      </c>
      <c r="B156" s="7">
        <v>1770104823000</v>
      </c>
      <c r="C156" s="25" t="s">
        <v>202</v>
      </c>
      <c r="D156" s="3" t="s">
        <v>9</v>
      </c>
      <c r="E156" s="3" t="s">
        <v>76</v>
      </c>
      <c r="F156" s="3">
        <v>22695</v>
      </c>
      <c r="G156" s="3">
        <v>2252.25</v>
      </c>
      <c r="H156" s="3">
        <v>158845.32999999999</v>
      </c>
      <c r="I156" s="2"/>
    </row>
    <row r="157" spans="1:9" x14ac:dyDescent="0.25">
      <c r="A157" s="2">
        <v>46057</v>
      </c>
      <c r="B157" s="7" t="s">
        <v>203</v>
      </c>
      <c r="C157" s="25" t="s">
        <v>204</v>
      </c>
      <c r="D157" s="3" t="s">
        <v>162</v>
      </c>
      <c r="E157" s="3" t="s">
        <v>26</v>
      </c>
      <c r="F157" s="3">
        <v>6</v>
      </c>
      <c r="G157" s="3">
        <v>12.24</v>
      </c>
      <c r="H157" s="3">
        <v>1127.29</v>
      </c>
      <c r="I157" s="2">
        <v>46108</v>
      </c>
    </row>
    <row r="158" spans="1:9" x14ac:dyDescent="0.25">
      <c r="A158" s="2">
        <v>46058</v>
      </c>
      <c r="B158" s="7">
        <v>1770290387779</v>
      </c>
      <c r="C158" s="25" t="s">
        <v>205</v>
      </c>
      <c r="D158" s="3" t="s">
        <v>85</v>
      </c>
      <c r="E158" s="3" t="s">
        <v>69</v>
      </c>
      <c r="F158" s="3">
        <v>10</v>
      </c>
      <c r="G158" s="3">
        <v>20.420000000000002</v>
      </c>
      <c r="H158" s="3">
        <v>2114.09</v>
      </c>
      <c r="I158" s="2">
        <f>++VLOOKUP(C158,'[1]Receipt Register'!$A$2:$B$133,2,FALSE)</f>
        <v>46063</v>
      </c>
    </row>
    <row r="159" spans="1:9" x14ac:dyDescent="0.25">
      <c r="A159" s="2">
        <v>46059</v>
      </c>
      <c r="B159" s="7">
        <v>1770380385417</v>
      </c>
      <c r="C159" s="25" t="s">
        <v>206</v>
      </c>
      <c r="D159" s="3" t="s">
        <v>207</v>
      </c>
      <c r="E159" s="3" t="s">
        <v>76</v>
      </c>
      <c r="F159" s="3">
        <v>59</v>
      </c>
      <c r="G159" s="3">
        <v>127.91</v>
      </c>
      <c r="H159" s="3">
        <v>13243.17</v>
      </c>
      <c r="I159" s="3"/>
    </row>
    <row r="160" spans="1:9" x14ac:dyDescent="0.25">
      <c r="A160" s="2">
        <v>46062</v>
      </c>
      <c r="B160" s="7" t="s">
        <v>208</v>
      </c>
      <c r="C160" s="25" t="s">
        <v>209</v>
      </c>
      <c r="D160" s="3" t="s">
        <v>91</v>
      </c>
      <c r="E160" s="3" t="s">
        <v>26</v>
      </c>
      <c r="F160" s="3">
        <v>0</v>
      </c>
      <c r="G160" s="3">
        <v>201.21</v>
      </c>
      <c r="H160" s="3">
        <v>17056.13</v>
      </c>
      <c r="I160" s="2">
        <f>++VLOOKUP(C160,'[1]Receipt Register'!$A$2:$B$133,2,FALSE)</f>
        <v>46106</v>
      </c>
    </row>
    <row r="161" spans="1:9" x14ac:dyDescent="0.25">
      <c r="A161" s="2">
        <v>46062</v>
      </c>
      <c r="B161" s="7">
        <v>1770618382825</v>
      </c>
      <c r="C161" s="25" t="s">
        <v>210</v>
      </c>
      <c r="D161" s="3" t="s">
        <v>20</v>
      </c>
      <c r="E161" s="3" t="s">
        <v>211</v>
      </c>
      <c r="F161" s="3">
        <v>2</v>
      </c>
      <c r="G161" s="3">
        <v>4.6399999999999997</v>
      </c>
      <c r="H161" s="3">
        <v>489.04</v>
      </c>
      <c r="I161" s="2">
        <f>++VLOOKUP(C161,'[1]Receipt Register'!$A$2:$B$133,2,FALSE)</f>
        <v>46065</v>
      </c>
    </row>
    <row r="162" spans="1:9" x14ac:dyDescent="0.25">
      <c r="A162" s="2">
        <v>46062</v>
      </c>
      <c r="B162" s="7" t="s">
        <v>212</v>
      </c>
      <c r="C162" s="25" t="s">
        <v>213</v>
      </c>
      <c r="D162" s="3" t="s">
        <v>162</v>
      </c>
      <c r="E162" s="3" t="s">
        <v>26</v>
      </c>
      <c r="F162" s="3">
        <v>2</v>
      </c>
      <c r="G162" s="3">
        <v>4.04</v>
      </c>
      <c r="H162" s="3">
        <v>376.03</v>
      </c>
      <c r="I162" s="2">
        <v>46108</v>
      </c>
    </row>
    <row r="163" spans="1:9" x14ac:dyDescent="0.25">
      <c r="A163" s="2">
        <v>46062</v>
      </c>
      <c r="B163" s="7">
        <v>1770875706131</v>
      </c>
      <c r="C163" s="25" t="s">
        <v>214</v>
      </c>
      <c r="D163" s="3" t="s">
        <v>47</v>
      </c>
      <c r="E163" s="3" t="s">
        <v>69</v>
      </c>
      <c r="F163" s="3">
        <v>2</v>
      </c>
      <c r="G163" s="3">
        <v>4.07</v>
      </c>
      <c r="H163" s="3">
        <v>433.27</v>
      </c>
      <c r="I163" s="2"/>
    </row>
    <row r="164" spans="1:9" x14ac:dyDescent="0.25">
      <c r="A164" s="2">
        <v>46063</v>
      </c>
      <c r="B164" s="7">
        <v>1770703703898</v>
      </c>
      <c r="C164" s="25" t="s">
        <v>215</v>
      </c>
      <c r="D164" s="3" t="s">
        <v>85</v>
      </c>
      <c r="E164" s="3" t="s">
        <v>76</v>
      </c>
      <c r="F164" s="3">
        <v>24</v>
      </c>
      <c r="G164" s="3">
        <v>56.12</v>
      </c>
      <c r="H164" s="3">
        <v>5799.7</v>
      </c>
      <c r="I164" s="2">
        <f>++VLOOKUP(C164,'[1]Receipt Register'!$A$2:$B$133,2,FALSE)</f>
        <v>46073</v>
      </c>
    </row>
    <row r="165" spans="1:9" x14ac:dyDescent="0.25">
      <c r="A165" s="2">
        <v>46063</v>
      </c>
      <c r="B165" s="7">
        <v>1770708749181</v>
      </c>
      <c r="C165" s="25" t="s">
        <v>216</v>
      </c>
      <c r="D165" s="3" t="s">
        <v>9</v>
      </c>
      <c r="E165" s="3" t="s">
        <v>76</v>
      </c>
      <c r="F165" s="3">
        <v>7763</v>
      </c>
      <c r="G165" s="3">
        <v>1187.8</v>
      </c>
      <c r="H165" s="3">
        <v>116851.9</v>
      </c>
      <c r="I165" s="2"/>
    </row>
    <row r="166" spans="1:9" x14ac:dyDescent="0.25">
      <c r="A166" s="2">
        <v>46066</v>
      </c>
      <c r="B166" s="7">
        <v>1770968625506</v>
      </c>
      <c r="C166" s="25" t="s">
        <v>217</v>
      </c>
      <c r="D166" s="3" t="s">
        <v>9</v>
      </c>
      <c r="E166" s="3" t="s">
        <v>76</v>
      </c>
      <c r="F166" s="3">
        <v>6351</v>
      </c>
      <c r="G166" s="3">
        <v>1342.52</v>
      </c>
      <c r="H166" s="3">
        <v>121235.55</v>
      </c>
      <c r="I166" s="2"/>
    </row>
    <row r="167" spans="1:9" x14ac:dyDescent="0.25">
      <c r="A167" s="2">
        <v>46069</v>
      </c>
      <c r="B167" s="7">
        <v>1771220690550</v>
      </c>
      <c r="C167" s="25" t="s">
        <v>218</v>
      </c>
      <c r="D167" s="3" t="s">
        <v>91</v>
      </c>
      <c r="E167" s="3" t="s">
        <v>10</v>
      </c>
      <c r="F167" s="3">
        <v>3</v>
      </c>
      <c r="G167" s="3">
        <v>5.77</v>
      </c>
      <c r="H167" s="3">
        <v>670.31</v>
      </c>
      <c r="I167" s="2">
        <f>++VLOOKUP(C167,'[1]Receipt Register'!$A$2:$B$133,2,FALSE)</f>
        <v>46106</v>
      </c>
    </row>
    <row r="168" spans="1:9" x14ac:dyDescent="0.25">
      <c r="A168" s="2">
        <v>46069</v>
      </c>
      <c r="B168" s="7">
        <v>1771240237766</v>
      </c>
      <c r="C168" s="25" t="s">
        <v>219</v>
      </c>
      <c r="D168" s="3" t="s">
        <v>85</v>
      </c>
      <c r="E168" s="3" t="s">
        <v>69</v>
      </c>
      <c r="F168" s="3">
        <v>11</v>
      </c>
      <c r="G168" s="3">
        <v>33.72</v>
      </c>
      <c r="H168" s="3">
        <v>3517.94</v>
      </c>
      <c r="I168" s="2">
        <f>++VLOOKUP(C168,'[1]Receipt Register'!$A$2:$B$133,2,FALSE)</f>
        <v>46085</v>
      </c>
    </row>
    <row r="169" spans="1:9" x14ac:dyDescent="0.25">
      <c r="A169" s="2">
        <v>46070</v>
      </c>
      <c r="B169" s="7" t="s">
        <v>220</v>
      </c>
      <c r="C169" s="25" t="s">
        <v>221</v>
      </c>
      <c r="D169" s="3" t="s">
        <v>159</v>
      </c>
      <c r="E169" s="3" t="s">
        <v>26</v>
      </c>
      <c r="F169" s="3">
        <v>11</v>
      </c>
      <c r="G169" s="3">
        <v>22.63</v>
      </c>
      <c r="H169" s="3">
        <v>2021.31</v>
      </c>
      <c r="I169" s="2">
        <v>46101</v>
      </c>
    </row>
    <row r="170" spans="1:9" x14ac:dyDescent="0.25">
      <c r="A170" s="2">
        <v>46070</v>
      </c>
      <c r="B170" s="7">
        <v>1771313543113</v>
      </c>
      <c r="C170" s="25" t="s">
        <v>222</v>
      </c>
      <c r="D170" s="3" t="s">
        <v>9</v>
      </c>
      <c r="E170" s="3" t="s">
        <v>76</v>
      </c>
      <c r="F170" s="3">
        <v>15570</v>
      </c>
      <c r="G170" s="3">
        <v>935.89</v>
      </c>
      <c r="H170" s="3">
        <v>56779.72</v>
      </c>
      <c r="I170" s="2"/>
    </row>
    <row r="171" spans="1:9" x14ac:dyDescent="0.25">
      <c r="A171" s="2">
        <v>46072</v>
      </c>
      <c r="B171" s="7" t="s">
        <v>223</v>
      </c>
      <c r="C171" s="25" t="s">
        <v>224</v>
      </c>
      <c r="D171" s="3" t="s">
        <v>225</v>
      </c>
      <c r="E171" s="3" t="s">
        <v>26</v>
      </c>
      <c r="F171" s="3">
        <v>0</v>
      </c>
      <c r="G171" s="3">
        <v>584.32000000000005</v>
      </c>
      <c r="H171" s="3">
        <v>13368.13</v>
      </c>
      <c r="I171" s="2"/>
    </row>
    <row r="172" spans="1:9" x14ac:dyDescent="0.25">
      <c r="A172" s="2">
        <v>46072</v>
      </c>
      <c r="B172" s="18">
        <v>1770876679744</v>
      </c>
      <c r="C172" s="25" t="s">
        <v>485</v>
      </c>
      <c r="D172" s="3" t="s">
        <v>28</v>
      </c>
      <c r="E172" s="3" t="s">
        <v>313</v>
      </c>
      <c r="F172" s="3">
        <v>2</v>
      </c>
      <c r="G172" s="3">
        <v>4.18</v>
      </c>
      <c r="H172" s="3">
        <v>1588</v>
      </c>
      <c r="I172" s="2"/>
    </row>
    <row r="173" spans="1:9" x14ac:dyDescent="0.25">
      <c r="A173" s="2">
        <v>46073</v>
      </c>
      <c r="B173" s="7">
        <v>1771569987875</v>
      </c>
      <c r="C173" s="25" t="s">
        <v>226</v>
      </c>
      <c r="D173" s="3" t="s">
        <v>85</v>
      </c>
      <c r="E173" s="3" t="s">
        <v>69</v>
      </c>
      <c r="F173" s="3">
        <v>59</v>
      </c>
      <c r="G173" s="3">
        <v>179.74</v>
      </c>
      <c r="H173" s="3">
        <v>18707.22</v>
      </c>
      <c r="I173" s="2">
        <f>++VLOOKUP(C173,'[1]Receipt Register'!$A$2:$B$133,2,FALSE)</f>
        <v>46085</v>
      </c>
    </row>
    <row r="174" spans="1:9" x14ac:dyDescent="0.25">
      <c r="A174" s="2">
        <v>46073</v>
      </c>
      <c r="B174" s="7">
        <v>1771571615411</v>
      </c>
      <c r="C174" s="25" t="s">
        <v>227</v>
      </c>
      <c r="D174" s="3" t="s">
        <v>9</v>
      </c>
      <c r="E174" s="3" t="s">
        <v>76</v>
      </c>
      <c r="F174" s="3">
        <v>8320</v>
      </c>
      <c r="G174" s="3">
        <v>1909.14</v>
      </c>
      <c r="H174" s="3">
        <v>150048.81</v>
      </c>
      <c r="I174" s="2"/>
    </row>
    <row r="175" spans="1:9" x14ac:dyDescent="0.25">
      <c r="A175" s="2">
        <v>46074</v>
      </c>
      <c r="B175" s="7">
        <v>1771649177472</v>
      </c>
      <c r="C175" s="25" t="s">
        <v>228</v>
      </c>
      <c r="D175" s="3" t="s">
        <v>85</v>
      </c>
      <c r="E175" s="3" t="s">
        <v>69</v>
      </c>
      <c r="F175" s="3">
        <v>2</v>
      </c>
      <c r="G175" s="3">
        <v>2.0299999999999998</v>
      </c>
      <c r="H175" s="13">
        <v>194.6</v>
      </c>
      <c r="I175" s="2">
        <f>++VLOOKUP(C175,'[1]Receipt Register'!$A$2:$B$133,2,FALSE)</f>
        <v>46085</v>
      </c>
    </row>
    <row r="176" spans="1:9" x14ac:dyDescent="0.25">
      <c r="A176" s="2">
        <v>46074</v>
      </c>
      <c r="B176" s="7" t="s">
        <v>229</v>
      </c>
      <c r="C176" s="25" t="s">
        <v>230</v>
      </c>
      <c r="D176" s="3" t="s">
        <v>159</v>
      </c>
      <c r="E176" s="3" t="s">
        <v>26</v>
      </c>
      <c r="F176" s="3">
        <v>59</v>
      </c>
      <c r="G176" s="3">
        <v>120.99</v>
      </c>
      <c r="H176" s="13">
        <v>11298.05</v>
      </c>
      <c r="I176" s="2">
        <v>46104</v>
      </c>
    </row>
    <row r="177" spans="1:9" x14ac:dyDescent="0.25">
      <c r="A177" s="2">
        <v>46076</v>
      </c>
      <c r="B177" s="7" t="s">
        <v>231</v>
      </c>
      <c r="C177" s="25" t="s">
        <v>232</v>
      </c>
      <c r="D177" s="3" t="s">
        <v>233</v>
      </c>
      <c r="E177" s="3" t="s">
        <v>26</v>
      </c>
      <c r="F177" s="3">
        <v>11</v>
      </c>
      <c r="G177" s="3">
        <v>6.83</v>
      </c>
      <c r="H177" s="13">
        <v>1402.78</v>
      </c>
      <c r="I177" s="2"/>
    </row>
    <row r="178" spans="1:9" x14ac:dyDescent="0.25">
      <c r="A178" s="2">
        <v>46078</v>
      </c>
      <c r="B178" s="7">
        <v>1771918246945</v>
      </c>
      <c r="C178" s="25" t="s">
        <v>234</v>
      </c>
      <c r="D178" s="3" t="s">
        <v>9</v>
      </c>
      <c r="E178" s="3" t="s">
        <v>76</v>
      </c>
      <c r="F178" s="3">
        <v>417</v>
      </c>
      <c r="G178" s="3">
        <v>138.03</v>
      </c>
      <c r="H178" s="13">
        <v>21013.43</v>
      </c>
      <c r="I178" s="2"/>
    </row>
    <row r="179" spans="1:9" x14ac:dyDescent="0.25">
      <c r="A179" s="2">
        <v>46078</v>
      </c>
      <c r="B179" s="7">
        <v>1772011028029</v>
      </c>
      <c r="C179" s="25" t="s">
        <v>235</v>
      </c>
      <c r="D179" s="3" t="s">
        <v>85</v>
      </c>
      <c r="E179" s="3" t="s">
        <v>69</v>
      </c>
      <c r="F179" s="3">
        <v>1</v>
      </c>
      <c r="G179" s="3">
        <v>3.04</v>
      </c>
      <c r="H179" s="13">
        <v>317.41000000000003</v>
      </c>
      <c r="I179" s="2">
        <f>++VLOOKUP(C179,'[1]Receipt Register'!$A$2:$B$133,2,FALSE)</f>
        <v>46085</v>
      </c>
    </row>
    <row r="180" spans="1:9" x14ac:dyDescent="0.25">
      <c r="A180" s="2">
        <v>46079</v>
      </c>
      <c r="B180" s="7">
        <v>1772084257715</v>
      </c>
      <c r="C180" s="25" t="s">
        <v>236</v>
      </c>
      <c r="D180" s="3" t="s">
        <v>85</v>
      </c>
      <c r="E180" s="3" t="s">
        <v>76</v>
      </c>
      <c r="F180" s="3">
        <v>48</v>
      </c>
      <c r="G180" s="3">
        <v>135.93</v>
      </c>
      <c r="H180" s="13">
        <v>13730.02</v>
      </c>
      <c r="I180" s="2">
        <f>++VLOOKUP(C180,'[1]Receipt Register'!$A$2:$B$133,2,FALSE)</f>
        <v>46085</v>
      </c>
    </row>
    <row r="181" spans="1:9" x14ac:dyDescent="0.25">
      <c r="A181" s="2">
        <v>46079</v>
      </c>
      <c r="B181" s="7">
        <v>1772085901252</v>
      </c>
      <c r="C181" s="25" t="s">
        <v>237</v>
      </c>
      <c r="D181" s="3" t="s">
        <v>238</v>
      </c>
      <c r="E181" s="3" t="s">
        <v>10</v>
      </c>
      <c r="F181" s="3">
        <v>1</v>
      </c>
      <c r="G181" s="3">
        <v>2.5299999999999998</v>
      </c>
      <c r="H181" s="13">
        <v>243.96</v>
      </c>
      <c r="I181" s="2">
        <f>++VLOOKUP(C181,'[1]Receipt Register'!$A$2:$B$133,2,FALSE)</f>
        <v>46085</v>
      </c>
    </row>
    <row r="182" spans="1:9" x14ac:dyDescent="0.25">
      <c r="A182" s="2">
        <v>46079</v>
      </c>
      <c r="B182" s="7">
        <v>1772102309379</v>
      </c>
      <c r="C182" s="25" t="s">
        <v>239</v>
      </c>
      <c r="D182" s="3" t="s">
        <v>47</v>
      </c>
      <c r="E182" s="3" t="s">
        <v>211</v>
      </c>
      <c r="F182" s="3">
        <v>2</v>
      </c>
      <c r="G182" s="3">
        <v>7.53</v>
      </c>
      <c r="H182" s="13">
        <v>840.72</v>
      </c>
      <c r="I182" s="2">
        <f>++VLOOKUP(C182,'[1]Receipt Register'!$A$2:$B$133,2,FALSE)</f>
        <v>46090</v>
      </c>
    </row>
    <row r="183" spans="1:9" x14ac:dyDescent="0.25">
      <c r="A183" s="2">
        <v>46080</v>
      </c>
      <c r="B183" s="7">
        <v>1772176008549</v>
      </c>
      <c r="C183" s="25" t="s">
        <v>240</v>
      </c>
      <c r="D183" s="3" t="s">
        <v>9</v>
      </c>
      <c r="E183" s="3" t="s">
        <v>76</v>
      </c>
      <c r="F183" s="3">
        <v>26788</v>
      </c>
      <c r="G183" s="3">
        <v>2715.31</v>
      </c>
      <c r="H183" s="13">
        <v>170099.84</v>
      </c>
      <c r="I183" s="2"/>
    </row>
    <row r="184" spans="1:9" x14ac:dyDescent="0.25">
      <c r="A184" s="2">
        <v>46080</v>
      </c>
      <c r="B184" s="7">
        <v>1772183104795</v>
      </c>
      <c r="C184" s="25" t="s">
        <v>241</v>
      </c>
      <c r="D184" s="3" t="s">
        <v>85</v>
      </c>
      <c r="E184" s="3" t="s">
        <v>69</v>
      </c>
      <c r="F184" s="3">
        <v>1</v>
      </c>
      <c r="G184" s="3">
        <v>2.06</v>
      </c>
      <c r="H184" s="13">
        <v>209.38</v>
      </c>
      <c r="I184" s="2">
        <f>++VLOOKUP(C184,'[1]Receipt Register'!$A$2:$B$133,2,FALSE)</f>
        <v>46090</v>
      </c>
    </row>
    <row r="185" spans="1:9" x14ac:dyDescent="0.25">
      <c r="A185" s="2">
        <v>46081</v>
      </c>
      <c r="B185" s="7">
        <v>1772254505522</v>
      </c>
      <c r="C185" s="25" t="s">
        <v>242</v>
      </c>
      <c r="D185" s="3" t="s">
        <v>85</v>
      </c>
      <c r="E185" s="3" t="s">
        <v>69</v>
      </c>
      <c r="F185" s="3">
        <v>5</v>
      </c>
      <c r="G185" s="3">
        <v>15.3</v>
      </c>
      <c r="H185" s="13">
        <v>1472.26</v>
      </c>
      <c r="I185" s="2">
        <f>++VLOOKUP(C185,'[1]Receipt Register'!$A$2:$B$133,2,FALSE)</f>
        <v>46090</v>
      </c>
    </row>
    <row r="186" spans="1:9" x14ac:dyDescent="0.25">
      <c r="A186" s="2">
        <v>46081</v>
      </c>
      <c r="B186" s="7">
        <v>1772259449766</v>
      </c>
      <c r="C186" s="25" t="s">
        <v>243</v>
      </c>
      <c r="D186" s="3" t="s">
        <v>244</v>
      </c>
      <c r="E186" s="3" t="s">
        <v>10</v>
      </c>
      <c r="F186" s="3">
        <v>1</v>
      </c>
      <c r="G186" s="3">
        <v>1.18</v>
      </c>
      <c r="H186" s="13">
        <v>518.57000000000005</v>
      </c>
      <c r="I186" s="2">
        <f>++VLOOKUP(C186,'[1]Receipt Register'!$A$2:$B$133,2,FALSE)</f>
        <v>46099</v>
      </c>
    </row>
    <row r="187" spans="1:9" x14ac:dyDescent="0.25">
      <c r="A187" s="2">
        <v>46083</v>
      </c>
      <c r="B187" s="7">
        <v>1772249903793</v>
      </c>
      <c r="C187" s="25" t="s">
        <v>245</v>
      </c>
      <c r="D187" s="3" t="s">
        <v>149</v>
      </c>
      <c r="E187" s="3" t="s">
        <v>10</v>
      </c>
      <c r="F187" s="3">
        <v>14</v>
      </c>
      <c r="G187" s="3">
        <v>62.83</v>
      </c>
      <c r="H187" s="13">
        <v>7424.68</v>
      </c>
      <c r="I187" s="3"/>
    </row>
    <row r="188" spans="1:9" x14ac:dyDescent="0.25">
      <c r="A188" s="2">
        <v>46083</v>
      </c>
      <c r="B188" s="18" t="s">
        <v>246</v>
      </c>
      <c r="C188" s="11" t="s">
        <v>247</v>
      </c>
      <c r="D188" s="3" t="s">
        <v>159</v>
      </c>
      <c r="E188" s="3" t="s">
        <v>26</v>
      </c>
      <c r="F188" s="3">
        <v>51</v>
      </c>
      <c r="G188" s="3">
        <v>140.87</v>
      </c>
      <c r="H188" s="13">
        <v>53597.37</v>
      </c>
      <c r="I188" s="2">
        <v>46113</v>
      </c>
    </row>
    <row r="189" spans="1:9" x14ac:dyDescent="0.25">
      <c r="A189" s="2">
        <v>46083</v>
      </c>
      <c r="B189" s="7">
        <v>1772453884134</v>
      </c>
      <c r="C189" s="25" t="s">
        <v>248</v>
      </c>
      <c r="D189" s="3" t="s">
        <v>85</v>
      </c>
      <c r="E189" s="3" t="s">
        <v>69</v>
      </c>
      <c r="F189" s="3">
        <v>1</v>
      </c>
      <c r="G189" s="3">
        <v>3.08</v>
      </c>
      <c r="H189" s="13">
        <v>318.06</v>
      </c>
      <c r="I189" s="2">
        <f>++VLOOKUP(C189,'[1]Receipt Register'!$A$2:$B$133,2,FALSE)</f>
        <v>46090</v>
      </c>
    </row>
    <row r="190" spans="1:9" x14ac:dyDescent="0.25">
      <c r="A190" s="2">
        <v>46086</v>
      </c>
      <c r="B190" s="7">
        <v>1772683992073</v>
      </c>
      <c r="C190" s="25" t="s">
        <v>486</v>
      </c>
      <c r="D190" s="3" t="s">
        <v>85</v>
      </c>
      <c r="E190" s="3" t="s">
        <v>69</v>
      </c>
      <c r="F190" s="3">
        <v>144</v>
      </c>
      <c r="G190" s="3">
        <v>269.79000000000002</v>
      </c>
      <c r="H190" s="13">
        <v>27044.21</v>
      </c>
      <c r="I190" s="2"/>
    </row>
    <row r="191" spans="1:9" x14ac:dyDescent="0.25">
      <c r="A191" s="2">
        <v>46088</v>
      </c>
      <c r="B191" s="7">
        <v>1772855381061</v>
      </c>
      <c r="C191" s="25" t="s">
        <v>487</v>
      </c>
      <c r="D191" s="3" t="s">
        <v>85</v>
      </c>
      <c r="E191" s="3" t="s">
        <v>69</v>
      </c>
      <c r="F191" s="3">
        <v>96</v>
      </c>
      <c r="G191" s="3">
        <v>99.73</v>
      </c>
      <c r="H191" s="3">
        <v>8020.41</v>
      </c>
      <c r="I191" s="2"/>
    </row>
    <row r="192" spans="1:9" x14ac:dyDescent="0.25">
      <c r="A192" s="2">
        <v>46090</v>
      </c>
      <c r="B192" s="7">
        <v>1773030644699</v>
      </c>
      <c r="C192" s="25" t="s">
        <v>249</v>
      </c>
      <c r="D192" s="3" t="s">
        <v>85</v>
      </c>
      <c r="E192" s="3" t="s">
        <v>69</v>
      </c>
      <c r="F192" s="3">
        <v>106</v>
      </c>
      <c r="G192" s="3">
        <v>108.5</v>
      </c>
      <c r="H192" s="3">
        <v>8752.99</v>
      </c>
      <c r="I192" s="2">
        <f>++VLOOKUP(C192,'[1]Receipt Register'!$A$2:$B$133,2,FALSE)</f>
        <v>46101</v>
      </c>
    </row>
    <row r="193" spans="1:9" x14ac:dyDescent="0.25">
      <c r="A193" s="2">
        <v>46090</v>
      </c>
      <c r="B193" s="7">
        <v>1773052092443</v>
      </c>
      <c r="C193" s="25" t="s">
        <v>250</v>
      </c>
      <c r="D193" s="3" t="s">
        <v>85</v>
      </c>
      <c r="E193" s="3" t="s">
        <v>69</v>
      </c>
      <c r="F193" s="3">
        <v>294</v>
      </c>
      <c r="G193" s="3">
        <v>307.91000000000003</v>
      </c>
      <c r="H193" s="3">
        <v>24582.7</v>
      </c>
      <c r="I193" s="2">
        <f>++VLOOKUP(C193,'[1]Receipt Register'!$A$2:$B$133,2,FALSE)</f>
        <v>46101</v>
      </c>
    </row>
    <row r="194" spans="1:9" x14ac:dyDescent="0.25">
      <c r="A194" s="2">
        <v>46091</v>
      </c>
      <c r="B194" s="7" t="s">
        <v>251</v>
      </c>
      <c r="C194" s="25" t="s">
        <v>252</v>
      </c>
      <c r="D194" s="3" t="s">
        <v>159</v>
      </c>
      <c r="E194" s="3" t="s">
        <v>26</v>
      </c>
      <c r="F194" s="3">
        <v>211</v>
      </c>
      <c r="G194" s="3">
        <v>460.88</v>
      </c>
      <c r="H194" s="3">
        <v>46618.1</v>
      </c>
      <c r="I194" s="2"/>
    </row>
    <row r="195" spans="1:9" x14ac:dyDescent="0.25">
      <c r="A195" s="2">
        <v>46092</v>
      </c>
      <c r="B195" s="7">
        <v>1773199912780</v>
      </c>
      <c r="C195" s="25" t="s">
        <v>253</v>
      </c>
      <c r="D195" s="3" t="s">
        <v>85</v>
      </c>
      <c r="E195" s="3" t="s">
        <v>69</v>
      </c>
      <c r="F195" s="3">
        <v>97</v>
      </c>
      <c r="G195" s="3">
        <v>100.27</v>
      </c>
      <c r="H195" s="3">
        <v>9007.99</v>
      </c>
      <c r="I195" s="2">
        <f>++VLOOKUP(C195,'[1]Receipt Register'!$A$2:$B$133,2,FALSE)</f>
        <v>46101</v>
      </c>
    </row>
    <row r="196" spans="1:9" x14ac:dyDescent="0.25">
      <c r="A196" s="2">
        <v>46092</v>
      </c>
      <c r="B196" s="7">
        <v>1773209995758</v>
      </c>
      <c r="C196" s="25" t="s">
        <v>254</v>
      </c>
      <c r="D196" s="3" t="s">
        <v>85</v>
      </c>
      <c r="E196" s="3" t="s">
        <v>69</v>
      </c>
      <c r="F196" s="3">
        <v>206</v>
      </c>
      <c r="G196" s="3">
        <v>406.04</v>
      </c>
      <c r="H196" s="3">
        <v>41428.559999999998</v>
      </c>
      <c r="I196" s="2">
        <f>++VLOOKUP(C196,'[1]Receipt Register'!$A$2:$B$133,2,FALSE)</f>
        <v>46101</v>
      </c>
    </row>
    <row r="197" spans="1:9" x14ac:dyDescent="0.25">
      <c r="A197" s="2">
        <v>46093</v>
      </c>
      <c r="B197" s="7" t="s">
        <v>255</v>
      </c>
      <c r="C197" s="25" t="s">
        <v>256</v>
      </c>
      <c r="D197" s="3" t="s">
        <v>85</v>
      </c>
      <c r="E197" s="3" t="s">
        <v>69</v>
      </c>
      <c r="F197" s="3">
        <v>37</v>
      </c>
      <c r="G197" s="3">
        <v>102.55</v>
      </c>
      <c r="H197" s="3">
        <v>11220.92</v>
      </c>
      <c r="I197" s="2">
        <f>++VLOOKUP(C197,'[1]Receipt Register'!$A$2:$B$133,2,FALSE)</f>
        <v>46101</v>
      </c>
    </row>
    <row r="198" spans="1:9" x14ac:dyDescent="0.25">
      <c r="A198" s="2">
        <v>46093</v>
      </c>
      <c r="B198" s="7" t="s">
        <v>257</v>
      </c>
      <c r="C198" s="25" t="s">
        <v>258</v>
      </c>
      <c r="D198" s="3" t="s">
        <v>159</v>
      </c>
      <c r="E198" s="3" t="s">
        <v>26</v>
      </c>
      <c r="F198" s="3">
        <v>55</v>
      </c>
      <c r="G198" s="3">
        <v>143.05000000000001</v>
      </c>
      <c r="H198" s="3">
        <v>14563.2</v>
      </c>
      <c r="I198" s="2"/>
    </row>
    <row r="199" spans="1:9" x14ac:dyDescent="0.25">
      <c r="A199" s="2">
        <v>46094</v>
      </c>
      <c r="B199" s="7" t="s">
        <v>259</v>
      </c>
      <c r="C199" s="11" t="s">
        <v>260</v>
      </c>
      <c r="D199" s="3" t="s">
        <v>85</v>
      </c>
      <c r="E199" s="3" t="s">
        <v>69</v>
      </c>
      <c r="F199" s="3">
        <v>112</v>
      </c>
      <c r="G199" s="3">
        <v>288.38</v>
      </c>
      <c r="H199" s="3">
        <v>29770.98</v>
      </c>
      <c r="I199" s="2">
        <f>++VLOOKUP(C199,'[1]Receipt Register'!$A$2:$B$133,2,FALSE)</f>
        <v>46101</v>
      </c>
    </row>
    <row r="200" spans="1:9" x14ac:dyDescent="0.25">
      <c r="A200" s="2">
        <v>46094</v>
      </c>
      <c r="B200" s="7" t="s">
        <v>261</v>
      </c>
      <c r="C200" s="11" t="s">
        <v>262</v>
      </c>
      <c r="D200" s="3" t="s">
        <v>263</v>
      </c>
      <c r="E200" s="3" t="s">
        <v>26</v>
      </c>
      <c r="F200" s="3" t="s">
        <v>108</v>
      </c>
      <c r="G200" s="3">
        <v>40.69</v>
      </c>
      <c r="H200" s="3">
        <v>1292.45</v>
      </c>
      <c r="I200" s="2"/>
    </row>
    <row r="201" spans="1:9" x14ac:dyDescent="0.25">
      <c r="A201" s="2">
        <v>46097</v>
      </c>
      <c r="B201" s="18" t="s">
        <v>264</v>
      </c>
      <c r="C201" s="11" t="s">
        <v>265</v>
      </c>
      <c r="D201" s="3" t="s">
        <v>85</v>
      </c>
      <c r="E201" s="3" t="s">
        <v>69</v>
      </c>
      <c r="F201" s="3">
        <v>98</v>
      </c>
      <c r="G201" s="3">
        <v>101.06</v>
      </c>
      <c r="H201" s="3">
        <v>8091.67</v>
      </c>
      <c r="I201" s="2">
        <f>++VLOOKUP(C201,'[1]Receipt Register'!$A$2:$B$133,2,FALSE)</f>
        <v>46101</v>
      </c>
    </row>
    <row r="202" spans="1:9" x14ac:dyDescent="0.25">
      <c r="A202" s="2">
        <v>46097</v>
      </c>
      <c r="B202" s="18" t="s">
        <v>266</v>
      </c>
      <c r="C202" s="25" t="s">
        <v>267</v>
      </c>
      <c r="D202" s="3" t="s">
        <v>159</v>
      </c>
      <c r="E202" s="3" t="s">
        <v>26</v>
      </c>
      <c r="F202" s="3">
        <v>41</v>
      </c>
      <c r="G202" s="3">
        <v>86.92</v>
      </c>
      <c r="H202" s="3">
        <v>8940.1200000000008</v>
      </c>
      <c r="I202" s="2"/>
    </row>
    <row r="203" spans="1:9" x14ac:dyDescent="0.25">
      <c r="A203" s="2">
        <v>46097</v>
      </c>
      <c r="B203" s="7" t="s">
        <v>268</v>
      </c>
      <c r="C203" s="11" t="s">
        <v>269</v>
      </c>
      <c r="D203" s="3" t="s">
        <v>85</v>
      </c>
      <c r="E203" s="3" t="s">
        <v>69</v>
      </c>
      <c r="F203" s="3">
        <v>100</v>
      </c>
      <c r="G203" s="3">
        <v>125.36</v>
      </c>
      <c r="H203" s="3">
        <v>11995.83</v>
      </c>
      <c r="I203" s="2">
        <f>++VLOOKUP(C203,'[1]Receipt Register'!$A$2:$B$133,2,FALSE)</f>
        <v>46101</v>
      </c>
    </row>
    <row r="204" spans="1:9" x14ac:dyDescent="0.25">
      <c r="A204" s="2">
        <v>46098</v>
      </c>
      <c r="B204" s="18">
        <v>1773726033382</v>
      </c>
      <c r="C204" s="11" t="s">
        <v>270</v>
      </c>
      <c r="D204" s="3" t="s">
        <v>233</v>
      </c>
      <c r="E204" s="3" t="s">
        <v>76</v>
      </c>
      <c r="F204" s="3">
        <v>385</v>
      </c>
      <c r="G204" s="3">
        <v>24.71</v>
      </c>
      <c r="H204" s="3">
        <v>2243.2399999999998</v>
      </c>
      <c r="I204" s="2"/>
    </row>
    <row r="205" spans="1:9" x14ac:dyDescent="0.25">
      <c r="A205" s="2">
        <v>46098</v>
      </c>
      <c r="B205" s="18" t="s">
        <v>271</v>
      </c>
      <c r="C205" s="25" t="s">
        <v>272</v>
      </c>
      <c r="D205" s="3" t="s">
        <v>159</v>
      </c>
      <c r="E205" s="3" t="s">
        <v>26</v>
      </c>
      <c r="F205" s="3">
        <v>24</v>
      </c>
      <c r="G205" s="3">
        <v>55.22</v>
      </c>
      <c r="H205" s="3">
        <v>5639.2</v>
      </c>
      <c r="I205" s="2"/>
    </row>
    <row r="206" spans="1:9" x14ac:dyDescent="0.25">
      <c r="A206" s="2">
        <v>46098</v>
      </c>
      <c r="B206" s="18" t="s">
        <v>273</v>
      </c>
      <c r="C206" s="25" t="s">
        <v>274</v>
      </c>
      <c r="D206" s="3" t="s">
        <v>85</v>
      </c>
      <c r="E206" s="3" t="s">
        <v>69</v>
      </c>
      <c r="F206" s="3">
        <v>256</v>
      </c>
      <c r="G206" s="3">
        <v>588.85</v>
      </c>
      <c r="H206" s="3">
        <v>62096.04</v>
      </c>
      <c r="I206" s="2">
        <f>++VLOOKUP(C206,'[1]Receipt Register'!$A$2:$B$133,2,FALSE)</f>
        <v>46111</v>
      </c>
    </row>
    <row r="207" spans="1:9" x14ac:dyDescent="0.25">
      <c r="A207" s="2">
        <v>46099</v>
      </c>
      <c r="B207" s="18" t="s">
        <v>275</v>
      </c>
      <c r="C207" s="25" t="s">
        <v>276</v>
      </c>
      <c r="D207" s="3" t="s">
        <v>85</v>
      </c>
      <c r="E207" s="3" t="s">
        <v>69</v>
      </c>
      <c r="F207" s="3">
        <v>164</v>
      </c>
      <c r="G207" s="3">
        <v>168.02</v>
      </c>
      <c r="H207" s="3">
        <v>15026.41</v>
      </c>
      <c r="I207" s="2">
        <f>++VLOOKUP(C207,'[1]Receipt Register'!$A$2:$B$133,2,FALSE)</f>
        <v>46111</v>
      </c>
    </row>
    <row r="208" spans="1:9" x14ac:dyDescent="0.25">
      <c r="A208" s="2">
        <v>46101</v>
      </c>
      <c r="B208" s="18" t="s">
        <v>277</v>
      </c>
      <c r="C208" s="25" t="s">
        <v>278</v>
      </c>
      <c r="D208" s="3" t="s">
        <v>85</v>
      </c>
      <c r="E208" s="3" t="s">
        <v>69</v>
      </c>
      <c r="F208" s="3">
        <v>167</v>
      </c>
      <c r="G208" s="3">
        <v>173.67</v>
      </c>
      <c r="H208" s="3">
        <v>15116.17</v>
      </c>
      <c r="I208" s="2">
        <f>++VLOOKUP(C208,'[1]Receipt Register'!$A$2:$B$133,2,FALSE)</f>
        <v>46111</v>
      </c>
    </row>
    <row r="209" spans="1:9" x14ac:dyDescent="0.25">
      <c r="A209" s="2">
        <v>46101</v>
      </c>
      <c r="B209" s="18" t="s">
        <v>279</v>
      </c>
      <c r="C209" s="25" t="s">
        <v>280</v>
      </c>
      <c r="D209" s="3" t="s">
        <v>85</v>
      </c>
      <c r="E209" s="3" t="s">
        <v>69</v>
      </c>
      <c r="F209" s="3">
        <v>280</v>
      </c>
      <c r="G209" s="3">
        <v>290</v>
      </c>
      <c r="H209" s="3">
        <v>25697.91</v>
      </c>
      <c r="I209" s="2">
        <f>++VLOOKUP(C209,'[1]Receipt Register'!$A$2:$B$133,2,FALSE)</f>
        <v>46111</v>
      </c>
    </row>
    <row r="210" spans="1:9" x14ac:dyDescent="0.25">
      <c r="A210" s="2">
        <v>46101</v>
      </c>
      <c r="B210" s="18" t="s">
        <v>281</v>
      </c>
      <c r="C210" s="25" t="s">
        <v>282</v>
      </c>
      <c r="D210" s="3" t="s">
        <v>159</v>
      </c>
      <c r="E210" s="3" t="s">
        <v>26</v>
      </c>
      <c r="F210" s="3">
        <v>29</v>
      </c>
      <c r="G210" s="3">
        <v>59.58</v>
      </c>
      <c r="H210" s="3">
        <v>6043.47</v>
      </c>
      <c r="I210" s="2"/>
    </row>
    <row r="211" spans="1:9" x14ac:dyDescent="0.25">
      <c r="A211" s="2">
        <v>46102</v>
      </c>
      <c r="B211" s="18" t="s">
        <v>283</v>
      </c>
      <c r="C211" s="25" t="s">
        <v>284</v>
      </c>
      <c r="D211" s="3" t="s">
        <v>85</v>
      </c>
      <c r="E211" s="3" t="s">
        <v>69</v>
      </c>
      <c r="F211" s="3">
        <v>344</v>
      </c>
      <c r="G211" s="3">
        <v>360</v>
      </c>
      <c r="H211" s="3">
        <v>32027.83</v>
      </c>
      <c r="I211" s="2">
        <f>++VLOOKUP(C211,'[1]Receipt Register'!$A$2:$B$133,2,FALSE)</f>
        <v>46111</v>
      </c>
    </row>
    <row r="212" spans="1:9" x14ac:dyDescent="0.25">
      <c r="A212" s="2">
        <v>46104</v>
      </c>
      <c r="B212" s="18">
        <v>1774245935371</v>
      </c>
      <c r="C212" s="25" t="s">
        <v>285</v>
      </c>
      <c r="D212" s="3" t="s">
        <v>207</v>
      </c>
      <c r="E212" s="3" t="s">
        <v>76</v>
      </c>
      <c r="F212" s="3">
        <v>130</v>
      </c>
      <c r="G212" s="3">
        <v>196.42</v>
      </c>
      <c r="H212" s="3">
        <v>18015.55</v>
      </c>
      <c r="I212" s="3"/>
    </row>
    <row r="213" spans="1:9" x14ac:dyDescent="0.25">
      <c r="A213" s="2">
        <v>46104</v>
      </c>
      <c r="B213" s="18">
        <v>1774252659567</v>
      </c>
      <c r="C213" s="25" t="s">
        <v>286</v>
      </c>
      <c r="D213" s="3" t="s">
        <v>9</v>
      </c>
      <c r="E213" s="3" t="s">
        <v>76</v>
      </c>
      <c r="F213" s="3">
        <v>5616</v>
      </c>
      <c r="G213" s="3">
        <v>2019.11</v>
      </c>
      <c r="H213" s="3">
        <v>175145.04</v>
      </c>
      <c r="I213" s="2"/>
    </row>
    <row r="214" spans="1:9" x14ac:dyDescent="0.25">
      <c r="A214" s="2">
        <v>46104</v>
      </c>
      <c r="B214" s="18" t="s">
        <v>287</v>
      </c>
      <c r="C214" s="25" t="s">
        <v>288</v>
      </c>
      <c r="D214" s="3" t="s">
        <v>85</v>
      </c>
      <c r="E214" s="3" t="s">
        <v>69</v>
      </c>
      <c r="F214" s="3">
        <v>70</v>
      </c>
      <c r="G214" s="3">
        <v>70.510000000000005</v>
      </c>
      <c r="H214" s="3">
        <v>6387.54</v>
      </c>
      <c r="I214" s="2">
        <f>++VLOOKUP(C214,'[1]Receipt Register'!$A$2:$B$133,2,FALSE)</f>
        <v>46111</v>
      </c>
    </row>
    <row r="215" spans="1:9" x14ac:dyDescent="0.25">
      <c r="A215" s="2">
        <v>46105</v>
      </c>
      <c r="B215" s="18" t="s">
        <v>289</v>
      </c>
      <c r="C215" s="25" t="s">
        <v>290</v>
      </c>
      <c r="D215" s="3" t="s">
        <v>85</v>
      </c>
      <c r="E215" s="3" t="s">
        <v>69</v>
      </c>
      <c r="F215" s="3">
        <v>231</v>
      </c>
      <c r="G215" s="3">
        <v>336.22</v>
      </c>
      <c r="H215" s="3">
        <v>33115.85</v>
      </c>
      <c r="I215" s="2">
        <f>++VLOOKUP(C215,'[1]Receipt Register'!$A$2:$B$133,2,FALSE)</f>
        <v>46111</v>
      </c>
    </row>
    <row r="216" spans="1:9" x14ac:dyDescent="0.25">
      <c r="A216" s="2">
        <v>46106</v>
      </c>
      <c r="B216" s="18" t="s">
        <v>291</v>
      </c>
      <c r="C216" s="25" t="s">
        <v>292</v>
      </c>
      <c r="D216" s="3" t="s">
        <v>85</v>
      </c>
      <c r="E216" s="3" t="s">
        <v>69</v>
      </c>
      <c r="F216" s="3">
        <v>362</v>
      </c>
      <c r="G216" s="3">
        <v>598.59</v>
      </c>
      <c r="H216" s="3">
        <v>58253.93</v>
      </c>
      <c r="I216" s="2">
        <f>++VLOOKUP(C216,'[1]Receipt Register'!$A$2:$B$133,2,FALSE)</f>
        <v>46111</v>
      </c>
    </row>
    <row r="217" spans="1:9" x14ac:dyDescent="0.25">
      <c r="A217" s="2">
        <v>46107</v>
      </c>
      <c r="B217" s="18" t="s">
        <v>293</v>
      </c>
      <c r="C217" s="25" t="s">
        <v>294</v>
      </c>
      <c r="D217" s="3" t="s">
        <v>85</v>
      </c>
      <c r="E217" s="3" t="s">
        <v>69</v>
      </c>
      <c r="F217" s="3">
        <v>404</v>
      </c>
      <c r="G217" s="3">
        <v>551.26</v>
      </c>
      <c r="H217" s="3">
        <v>51529.5</v>
      </c>
      <c r="I217" s="2"/>
    </row>
    <row r="218" spans="1:9" x14ac:dyDescent="0.25">
      <c r="A218" s="2">
        <v>46109</v>
      </c>
      <c r="B218" s="18" t="s">
        <v>295</v>
      </c>
      <c r="C218" s="25" t="s">
        <v>296</v>
      </c>
      <c r="D218" s="3" t="s">
        <v>159</v>
      </c>
      <c r="E218" s="3" t="s">
        <v>26</v>
      </c>
      <c r="F218" s="3">
        <v>2</v>
      </c>
      <c r="G218" s="3">
        <v>5.6</v>
      </c>
      <c r="H218" s="3">
        <v>568.82000000000005</v>
      </c>
      <c r="I218" s="2"/>
    </row>
    <row r="219" spans="1:9" x14ac:dyDescent="0.25">
      <c r="A219" s="2">
        <v>46109</v>
      </c>
      <c r="B219" s="18" t="s">
        <v>297</v>
      </c>
      <c r="C219" s="25" t="s">
        <v>298</v>
      </c>
      <c r="D219" s="3" t="s">
        <v>85</v>
      </c>
      <c r="E219" s="3" t="s">
        <v>69</v>
      </c>
      <c r="F219" s="3">
        <v>78</v>
      </c>
      <c r="G219" s="3">
        <v>201.65</v>
      </c>
      <c r="H219" s="3">
        <v>22037.01</v>
      </c>
      <c r="I219" s="2"/>
    </row>
    <row r="220" spans="1:9" x14ac:dyDescent="0.25">
      <c r="A220" s="2">
        <v>46111</v>
      </c>
      <c r="B220" s="18">
        <v>1774857328260</v>
      </c>
      <c r="C220" s="25" t="s">
        <v>299</v>
      </c>
      <c r="D220" s="3" t="s">
        <v>9</v>
      </c>
      <c r="E220" s="3" t="s">
        <v>76</v>
      </c>
      <c r="F220" s="3">
        <v>1073</v>
      </c>
      <c r="G220" s="3">
        <v>414.26</v>
      </c>
      <c r="H220" s="3">
        <v>36904.53</v>
      </c>
      <c r="I220" s="2"/>
    </row>
    <row r="221" spans="1:9" x14ac:dyDescent="0.25">
      <c r="A221" s="2">
        <v>46112</v>
      </c>
      <c r="B221" s="18" t="s">
        <v>300</v>
      </c>
      <c r="C221" s="25" t="s">
        <v>301</v>
      </c>
      <c r="D221" s="3" t="s">
        <v>85</v>
      </c>
      <c r="E221" s="3" t="s">
        <v>69</v>
      </c>
      <c r="F221" s="3">
        <v>198</v>
      </c>
      <c r="G221" s="3">
        <v>509.94</v>
      </c>
      <c r="H221" s="3">
        <v>55874.96</v>
      </c>
      <c r="I221" s="2"/>
    </row>
    <row r="222" spans="1:9" x14ac:dyDescent="0.25">
      <c r="A222" s="2">
        <v>46112</v>
      </c>
      <c r="B222" s="18">
        <v>1774937784253</v>
      </c>
      <c r="C222" s="25" t="s">
        <v>302</v>
      </c>
      <c r="D222" s="3" t="s">
        <v>233</v>
      </c>
      <c r="E222" s="3" t="s">
        <v>76</v>
      </c>
      <c r="F222" s="3">
        <v>883</v>
      </c>
      <c r="G222" s="3">
        <v>15.76</v>
      </c>
      <c r="H222" s="3">
        <v>1619.32</v>
      </c>
      <c r="I222" s="2"/>
    </row>
    <row r="223" spans="1:9" x14ac:dyDescent="0.25">
      <c r="A223" s="2">
        <v>46112</v>
      </c>
      <c r="B223" s="18">
        <v>1774939393707</v>
      </c>
      <c r="C223" s="25" t="s">
        <v>303</v>
      </c>
      <c r="D223" s="3" t="s">
        <v>47</v>
      </c>
      <c r="E223" s="3" t="s">
        <v>76</v>
      </c>
      <c r="F223" s="3">
        <v>90</v>
      </c>
      <c r="G223" s="3">
        <v>17.64</v>
      </c>
      <c r="H223" s="3">
        <v>1401.03</v>
      </c>
      <c r="I223" s="2"/>
    </row>
    <row r="224" spans="1:9" x14ac:dyDescent="0.25">
      <c r="A224" s="2">
        <v>46113</v>
      </c>
      <c r="B224" s="18" t="s">
        <v>304</v>
      </c>
      <c r="C224" s="25" t="s">
        <v>305</v>
      </c>
      <c r="D224" s="3" t="s">
        <v>85</v>
      </c>
      <c r="E224" s="3" t="s">
        <v>69</v>
      </c>
      <c r="F224" s="3">
        <v>173</v>
      </c>
      <c r="G224" s="3">
        <v>343.12</v>
      </c>
      <c r="H224" s="3">
        <v>34637.01</v>
      </c>
      <c r="I224" s="2"/>
    </row>
    <row r="225" spans="1:9" x14ac:dyDescent="0.25">
      <c r="A225" s="2">
        <v>46114</v>
      </c>
      <c r="B225" s="18" t="s">
        <v>306</v>
      </c>
      <c r="C225" s="25" t="s">
        <v>307</v>
      </c>
      <c r="D225" s="3" t="s">
        <v>85</v>
      </c>
      <c r="E225" s="3" t="s">
        <v>69</v>
      </c>
      <c r="F225" s="3">
        <v>15</v>
      </c>
      <c r="G225" s="3">
        <v>15.14</v>
      </c>
      <c r="H225" s="3">
        <v>1457.58</v>
      </c>
      <c r="I225" s="2"/>
    </row>
    <row r="226" spans="1:9" x14ac:dyDescent="0.25">
      <c r="A226" s="2">
        <v>46114</v>
      </c>
      <c r="B226" s="18" t="s">
        <v>319</v>
      </c>
      <c r="C226" s="25" t="s">
        <v>308</v>
      </c>
      <c r="D226" s="3" t="s">
        <v>309</v>
      </c>
      <c r="E226" s="3" t="s">
        <v>76</v>
      </c>
      <c r="F226" s="3">
        <v>28891</v>
      </c>
      <c r="G226" s="13">
        <v>2521.39</v>
      </c>
      <c r="H226" s="13">
        <v>241893.22</v>
      </c>
      <c r="I226" s="3"/>
    </row>
    <row r="227" spans="1:9" x14ac:dyDescent="0.25">
      <c r="A227" s="2">
        <v>46116</v>
      </c>
      <c r="B227" s="18">
        <v>1775283426124</v>
      </c>
      <c r="C227" s="25" t="s">
        <v>310</v>
      </c>
      <c r="D227" s="3" t="s">
        <v>9</v>
      </c>
      <c r="E227" s="3" t="s">
        <v>76</v>
      </c>
      <c r="F227" s="3">
        <v>357</v>
      </c>
      <c r="G227" s="3">
        <v>533.88</v>
      </c>
      <c r="H227" s="14">
        <v>53905.68</v>
      </c>
      <c r="I227" s="3"/>
    </row>
    <row r="228" spans="1:9" x14ac:dyDescent="0.25">
      <c r="A228" s="2">
        <v>46118</v>
      </c>
      <c r="B228" s="18" t="s">
        <v>311</v>
      </c>
      <c r="C228" s="25" t="s">
        <v>312</v>
      </c>
      <c r="D228" s="3" t="s">
        <v>85</v>
      </c>
      <c r="E228" s="3" t="s">
        <v>313</v>
      </c>
      <c r="F228" s="3">
        <v>30</v>
      </c>
      <c r="G228" s="3">
        <v>30.79</v>
      </c>
      <c r="H228" s="3">
        <v>2699.91</v>
      </c>
      <c r="I228" s="2"/>
    </row>
    <row r="229" spans="1:9" x14ac:dyDescent="0.25">
      <c r="A229" s="2">
        <v>46118</v>
      </c>
      <c r="B229" s="18" t="s">
        <v>314</v>
      </c>
      <c r="C229" s="25" t="s">
        <v>315</v>
      </c>
      <c r="D229" s="3" t="s">
        <v>263</v>
      </c>
      <c r="E229" s="3" t="s">
        <v>26</v>
      </c>
      <c r="F229" s="3">
        <v>628</v>
      </c>
      <c r="G229" s="3">
        <v>970.4</v>
      </c>
      <c r="H229" s="3">
        <v>61760.83</v>
      </c>
      <c r="I229" s="2"/>
    </row>
    <row r="230" spans="1:9" x14ac:dyDescent="0.25">
      <c r="A230" s="2">
        <v>46118</v>
      </c>
      <c r="B230" s="18" t="s">
        <v>316</v>
      </c>
      <c r="C230" s="25" t="s">
        <v>317</v>
      </c>
      <c r="D230" s="3" t="s">
        <v>85</v>
      </c>
      <c r="E230" s="3" t="s">
        <v>313</v>
      </c>
      <c r="F230" s="3">
        <v>91</v>
      </c>
      <c r="G230" s="3">
        <v>95.62</v>
      </c>
      <c r="H230" s="3">
        <v>8507.27</v>
      </c>
      <c r="I230" s="2"/>
    </row>
    <row r="231" spans="1:9" x14ac:dyDescent="0.25">
      <c r="A231" s="2">
        <v>46119</v>
      </c>
      <c r="B231" s="18" t="s">
        <v>320</v>
      </c>
      <c r="C231" s="25" t="s">
        <v>321</v>
      </c>
      <c r="D231" s="3" t="s">
        <v>162</v>
      </c>
      <c r="E231" s="3" t="s">
        <v>26</v>
      </c>
      <c r="F231" s="3">
        <v>1</v>
      </c>
      <c r="G231" s="3">
        <v>1.01</v>
      </c>
      <c r="H231" s="3">
        <v>128.13999999999999</v>
      </c>
      <c r="I231" s="2"/>
    </row>
    <row r="232" spans="1:9" x14ac:dyDescent="0.25">
      <c r="A232" s="2">
        <v>46122</v>
      </c>
      <c r="B232" s="18" t="s">
        <v>324</v>
      </c>
      <c r="C232" s="25" t="s">
        <v>325</v>
      </c>
      <c r="D232" s="3" t="s">
        <v>263</v>
      </c>
      <c r="E232" s="3" t="s">
        <v>326</v>
      </c>
      <c r="F232" s="3">
        <v>1</v>
      </c>
      <c r="G232" s="3">
        <v>31.19</v>
      </c>
      <c r="H232" s="3">
        <v>1686.69</v>
      </c>
      <c r="I232" s="2"/>
    </row>
    <row r="233" spans="1:9" x14ac:dyDescent="0.25">
      <c r="A233" s="2">
        <v>46122</v>
      </c>
      <c r="B233" s="18" t="s">
        <v>327</v>
      </c>
      <c r="C233" s="25" t="s">
        <v>328</v>
      </c>
      <c r="D233" s="3" t="s">
        <v>263</v>
      </c>
      <c r="E233" s="3" t="s">
        <v>26</v>
      </c>
      <c r="F233" s="3">
        <v>0</v>
      </c>
      <c r="G233" s="3">
        <v>120.91</v>
      </c>
      <c r="H233" s="3">
        <v>3444.1</v>
      </c>
      <c r="I233" s="2"/>
    </row>
    <row r="234" spans="1:9" x14ac:dyDescent="0.25">
      <c r="A234" s="2">
        <v>46122</v>
      </c>
      <c r="B234" s="18" t="s">
        <v>329</v>
      </c>
      <c r="C234" s="25" t="s">
        <v>330</v>
      </c>
      <c r="D234" s="3" t="s">
        <v>9</v>
      </c>
      <c r="E234" s="3" t="s">
        <v>326</v>
      </c>
      <c r="F234" s="3">
        <v>1264</v>
      </c>
      <c r="G234" s="3">
        <v>654.16999999999996</v>
      </c>
      <c r="H234" s="3">
        <v>86990.02</v>
      </c>
      <c r="I234" s="2"/>
    </row>
    <row r="235" spans="1:9" x14ac:dyDescent="0.25">
      <c r="A235" s="2">
        <v>46125</v>
      </c>
      <c r="B235" s="18" t="s">
        <v>331</v>
      </c>
      <c r="C235" s="25" t="s">
        <v>332</v>
      </c>
      <c r="D235" s="3" t="s">
        <v>263</v>
      </c>
      <c r="E235" s="3" t="s">
        <v>326</v>
      </c>
      <c r="F235" s="3">
        <v>2</v>
      </c>
      <c r="G235" s="3">
        <v>110.82</v>
      </c>
      <c r="H235" s="3">
        <v>8731.59</v>
      </c>
      <c r="I235" s="2"/>
    </row>
    <row r="236" spans="1:9" x14ac:dyDescent="0.25">
      <c r="A236" s="2">
        <v>46125</v>
      </c>
      <c r="B236" s="18" t="s">
        <v>333</v>
      </c>
      <c r="C236" s="25" t="s">
        <v>334</v>
      </c>
      <c r="D236" s="3" t="s">
        <v>85</v>
      </c>
      <c r="E236" s="3" t="s">
        <v>313</v>
      </c>
      <c r="F236" s="3">
        <v>5</v>
      </c>
      <c r="G236" s="3">
        <v>8.11</v>
      </c>
      <c r="H236" s="3">
        <v>747.87</v>
      </c>
      <c r="I236" s="2"/>
    </row>
    <row r="237" spans="1:9" x14ac:dyDescent="0.25">
      <c r="A237" s="2">
        <v>46125</v>
      </c>
      <c r="B237" s="18" t="s">
        <v>335</v>
      </c>
      <c r="C237" s="25" t="s">
        <v>336</v>
      </c>
      <c r="D237" s="3" t="s">
        <v>9</v>
      </c>
      <c r="E237" s="3" t="s">
        <v>326</v>
      </c>
      <c r="F237" s="3">
        <v>69</v>
      </c>
      <c r="G237" s="3">
        <v>140.37</v>
      </c>
      <c r="H237" s="3">
        <v>16810</v>
      </c>
      <c r="I237" s="2"/>
    </row>
    <row r="238" spans="1:9" x14ac:dyDescent="0.25">
      <c r="A238" s="2">
        <v>46125</v>
      </c>
      <c r="B238" s="18" t="s">
        <v>337</v>
      </c>
      <c r="C238" s="25" t="s">
        <v>338</v>
      </c>
      <c r="D238" s="3" t="s">
        <v>263</v>
      </c>
      <c r="E238" s="3" t="s">
        <v>313</v>
      </c>
      <c r="F238" s="3">
        <v>2</v>
      </c>
      <c r="G238" s="3">
        <v>5.09</v>
      </c>
      <c r="H238" s="3">
        <v>521.79999999999995</v>
      </c>
      <c r="I238" s="2"/>
    </row>
    <row r="239" spans="1:9" x14ac:dyDescent="0.25">
      <c r="A239" s="2">
        <v>46125</v>
      </c>
      <c r="B239" s="18" t="s">
        <v>339</v>
      </c>
      <c r="C239" s="25" t="s">
        <v>340</v>
      </c>
      <c r="D239" s="3" t="s">
        <v>263</v>
      </c>
      <c r="E239" s="3" t="s">
        <v>313</v>
      </c>
      <c r="F239" s="3">
        <v>3</v>
      </c>
      <c r="G239" s="3">
        <v>10.61</v>
      </c>
      <c r="H239" s="3">
        <v>967.57</v>
      </c>
      <c r="I239" s="2"/>
    </row>
    <row r="240" spans="1:9" x14ac:dyDescent="0.25">
      <c r="A240" s="2">
        <v>46127</v>
      </c>
      <c r="B240" s="18" t="s">
        <v>342</v>
      </c>
      <c r="C240" s="25" t="s">
        <v>343</v>
      </c>
      <c r="D240" s="3" t="s">
        <v>85</v>
      </c>
      <c r="E240" s="3" t="s">
        <v>26</v>
      </c>
      <c r="F240" s="3">
        <v>81</v>
      </c>
      <c r="G240" s="3">
        <v>209.2</v>
      </c>
      <c r="H240" s="3">
        <v>17203.05</v>
      </c>
      <c r="I240" s="2"/>
    </row>
    <row r="241" spans="1:9" x14ac:dyDescent="0.25">
      <c r="A241" s="2">
        <v>46127</v>
      </c>
      <c r="B241" s="18" t="s">
        <v>344</v>
      </c>
      <c r="C241" s="25" t="s">
        <v>345</v>
      </c>
      <c r="D241" s="3" t="s">
        <v>346</v>
      </c>
      <c r="E241" s="3" t="s">
        <v>26</v>
      </c>
      <c r="F241" s="3">
        <v>1</v>
      </c>
      <c r="G241" s="3">
        <v>2.19</v>
      </c>
      <c r="H241" s="3">
        <v>611.28</v>
      </c>
      <c r="I241" s="2"/>
    </row>
    <row r="242" spans="1:9" x14ac:dyDescent="0.25">
      <c r="A242" s="2">
        <v>46129</v>
      </c>
      <c r="B242" s="18" t="s">
        <v>347</v>
      </c>
      <c r="C242" s="25" t="s">
        <v>348</v>
      </c>
      <c r="D242" s="3" t="s">
        <v>9</v>
      </c>
      <c r="E242" s="3" t="s">
        <v>326</v>
      </c>
      <c r="F242" s="3">
        <v>2884</v>
      </c>
      <c r="G242" s="3">
        <v>1210.23</v>
      </c>
      <c r="H242" s="3">
        <v>101593.71</v>
      </c>
      <c r="I242" s="2"/>
    </row>
    <row r="243" spans="1:9" x14ac:dyDescent="0.25">
      <c r="A243" s="2">
        <v>46130</v>
      </c>
      <c r="B243" s="18" t="s">
        <v>350</v>
      </c>
      <c r="C243" s="25" t="s">
        <v>351</v>
      </c>
      <c r="D243" s="3" t="s">
        <v>263</v>
      </c>
      <c r="E243" s="3" t="s">
        <v>326</v>
      </c>
      <c r="F243" s="3">
        <v>2</v>
      </c>
      <c r="G243" s="3">
        <v>426.69</v>
      </c>
      <c r="H243" s="3">
        <v>20956.04</v>
      </c>
      <c r="I243" s="2"/>
    </row>
    <row r="244" spans="1:9" x14ac:dyDescent="0.25">
      <c r="A244" s="2">
        <v>46132</v>
      </c>
      <c r="B244" s="18" t="s">
        <v>352</v>
      </c>
      <c r="C244" s="25" t="s">
        <v>353</v>
      </c>
      <c r="D244" s="3" t="s">
        <v>85</v>
      </c>
      <c r="E244" s="3" t="s">
        <v>313</v>
      </c>
      <c r="F244" s="3">
        <v>1</v>
      </c>
      <c r="G244" s="3">
        <v>2</v>
      </c>
      <c r="H244" s="3">
        <v>201</v>
      </c>
      <c r="I244" s="2"/>
    </row>
    <row r="245" spans="1:9" x14ac:dyDescent="0.25">
      <c r="A245" s="2">
        <v>46132</v>
      </c>
      <c r="B245" s="18" t="s">
        <v>354</v>
      </c>
      <c r="C245" s="25" t="s">
        <v>355</v>
      </c>
      <c r="D245" s="3" t="s">
        <v>9</v>
      </c>
      <c r="E245" s="3" t="s">
        <v>326</v>
      </c>
      <c r="F245" s="3">
        <v>647</v>
      </c>
      <c r="G245" s="3">
        <v>710.21</v>
      </c>
      <c r="H245" s="3">
        <v>69806.98</v>
      </c>
      <c r="I245" s="2"/>
    </row>
    <row r="246" spans="1:9" x14ac:dyDescent="0.25">
      <c r="A246" s="2">
        <v>46134</v>
      </c>
      <c r="B246" s="18" t="s">
        <v>356</v>
      </c>
      <c r="C246" s="25" t="s">
        <v>357</v>
      </c>
      <c r="D246" s="3" t="s">
        <v>358</v>
      </c>
      <c r="E246" s="3" t="s">
        <v>26</v>
      </c>
      <c r="F246" s="3">
        <v>854</v>
      </c>
      <c r="G246" s="3">
        <v>545.53</v>
      </c>
      <c r="H246" s="3">
        <v>17620.080000000002</v>
      </c>
      <c r="I246" s="2"/>
    </row>
    <row r="247" spans="1:9" x14ac:dyDescent="0.25">
      <c r="A247" s="2">
        <v>46134</v>
      </c>
      <c r="B247" s="18" t="s">
        <v>360</v>
      </c>
      <c r="C247" s="25" t="s">
        <v>361</v>
      </c>
      <c r="D247" s="3" t="s">
        <v>85</v>
      </c>
      <c r="E247" s="3" t="s">
        <v>313</v>
      </c>
      <c r="F247" s="3">
        <v>3</v>
      </c>
      <c r="G247" s="3">
        <v>7.03</v>
      </c>
      <c r="H247" s="3">
        <v>696.65</v>
      </c>
      <c r="I247" s="2"/>
    </row>
    <row r="248" spans="1:9" x14ac:dyDescent="0.25">
      <c r="A248" s="2">
        <v>46135</v>
      </c>
      <c r="B248" s="18" t="s">
        <v>362</v>
      </c>
      <c r="C248" s="25" t="s">
        <v>363</v>
      </c>
      <c r="D248" s="3" t="s">
        <v>128</v>
      </c>
      <c r="E248" s="3" t="s">
        <v>26</v>
      </c>
      <c r="F248" s="3">
        <v>32</v>
      </c>
      <c r="G248" s="3">
        <v>0.13</v>
      </c>
      <c r="H248" s="3">
        <v>17.28</v>
      </c>
      <c r="I248" s="2"/>
    </row>
    <row r="249" spans="1:9" x14ac:dyDescent="0.25">
      <c r="A249" s="2">
        <v>46135</v>
      </c>
      <c r="B249" s="18" t="s">
        <v>364</v>
      </c>
      <c r="C249" s="25" t="s">
        <v>365</v>
      </c>
      <c r="D249" s="3" t="s">
        <v>9</v>
      </c>
      <c r="E249" s="3" t="s">
        <v>326</v>
      </c>
      <c r="F249" s="3">
        <v>2102</v>
      </c>
      <c r="G249" s="3">
        <v>950.78</v>
      </c>
      <c r="H249" s="3">
        <v>78586.149999999994</v>
      </c>
      <c r="I249" s="2"/>
    </row>
    <row r="250" spans="1:9" x14ac:dyDescent="0.25">
      <c r="A250" s="2">
        <v>46135</v>
      </c>
      <c r="B250" s="18" t="s">
        <v>366</v>
      </c>
      <c r="C250" s="25" t="s">
        <v>367</v>
      </c>
      <c r="D250" s="3" t="s">
        <v>368</v>
      </c>
      <c r="E250" s="3" t="s">
        <v>313</v>
      </c>
      <c r="F250" s="3">
        <v>1</v>
      </c>
      <c r="G250" s="3">
        <v>1.2</v>
      </c>
      <c r="H250" s="3">
        <v>96.22</v>
      </c>
      <c r="I250" s="2"/>
    </row>
    <row r="251" spans="1:9" x14ac:dyDescent="0.25">
      <c r="A251" s="2">
        <v>46136</v>
      </c>
      <c r="B251" s="18" t="s">
        <v>369</v>
      </c>
      <c r="C251" s="25" t="s">
        <v>370</v>
      </c>
      <c r="D251" s="3" t="s">
        <v>149</v>
      </c>
      <c r="E251" s="3" t="s">
        <v>326</v>
      </c>
      <c r="F251" s="3">
        <v>13</v>
      </c>
      <c r="G251" s="3">
        <v>54.76</v>
      </c>
      <c r="H251" s="3">
        <v>6640.85</v>
      </c>
      <c r="I251" s="2"/>
    </row>
    <row r="252" spans="1:9" x14ac:dyDescent="0.25">
      <c r="A252" s="2">
        <v>46136</v>
      </c>
      <c r="B252" s="18" t="s">
        <v>371</v>
      </c>
      <c r="C252" s="25" t="s">
        <v>372</v>
      </c>
      <c r="D252" s="3" t="s">
        <v>373</v>
      </c>
      <c r="E252" s="3" t="s">
        <v>313</v>
      </c>
      <c r="F252" s="3">
        <v>1</v>
      </c>
      <c r="G252" s="3">
        <v>3.97</v>
      </c>
      <c r="H252" s="3">
        <v>350.57</v>
      </c>
      <c r="I252" s="2"/>
    </row>
    <row r="253" spans="1:9" x14ac:dyDescent="0.25">
      <c r="A253" s="2">
        <v>46136</v>
      </c>
      <c r="B253" s="18" t="s">
        <v>374</v>
      </c>
      <c r="C253" s="25" t="s">
        <v>375</v>
      </c>
      <c r="D253" s="3" t="s">
        <v>263</v>
      </c>
      <c r="E253" s="3" t="s">
        <v>26</v>
      </c>
      <c r="F253" s="3">
        <v>8</v>
      </c>
      <c r="G253" s="3">
        <v>24.3</v>
      </c>
      <c r="H253" s="3">
        <v>1033.0999999999999</v>
      </c>
      <c r="I253" s="2"/>
    </row>
    <row r="254" spans="1:9" x14ac:dyDescent="0.25">
      <c r="A254" s="2">
        <v>46137</v>
      </c>
      <c r="B254" s="18" t="s">
        <v>376</v>
      </c>
      <c r="C254" s="25" t="s">
        <v>377</v>
      </c>
      <c r="D254" s="3" t="s">
        <v>85</v>
      </c>
      <c r="E254" s="3" t="s">
        <v>313</v>
      </c>
      <c r="F254" s="3">
        <v>4</v>
      </c>
      <c r="G254" s="3">
        <v>40.229999999999997</v>
      </c>
      <c r="H254" s="3">
        <v>4344.1400000000003</v>
      </c>
      <c r="I254" s="2"/>
    </row>
    <row r="255" spans="1:9" x14ac:dyDescent="0.25">
      <c r="A255" s="2">
        <v>46140</v>
      </c>
      <c r="B255" s="18" t="s">
        <v>378</v>
      </c>
      <c r="C255" s="25" t="s">
        <v>379</v>
      </c>
      <c r="D255" s="3" t="s">
        <v>162</v>
      </c>
      <c r="E255" s="3" t="s">
        <v>26</v>
      </c>
      <c r="F255" s="3">
        <v>3</v>
      </c>
      <c r="G255" s="3">
        <v>6.25</v>
      </c>
      <c r="H255" s="3">
        <v>1141.8800000000001</v>
      </c>
      <c r="I255" s="2"/>
    </row>
    <row r="256" spans="1:9" x14ac:dyDescent="0.25">
      <c r="A256" s="2">
        <v>46141</v>
      </c>
      <c r="B256" s="18" t="s">
        <v>380</v>
      </c>
      <c r="C256" s="25" t="s">
        <v>381</v>
      </c>
      <c r="D256" s="3" t="s">
        <v>382</v>
      </c>
      <c r="E256" s="3" t="s">
        <v>313</v>
      </c>
      <c r="F256" s="3">
        <v>2</v>
      </c>
      <c r="G256" s="3">
        <v>16.04</v>
      </c>
      <c r="H256" s="3">
        <v>1269.8900000000001</v>
      </c>
      <c r="I256" s="2"/>
    </row>
    <row r="257" spans="1:9" x14ac:dyDescent="0.25">
      <c r="A257" s="2">
        <v>46141</v>
      </c>
      <c r="B257" s="18" t="s">
        <v>383</v>
      </c>
      <c r="C257" s="25" t="s">
        <v>384</v>
      </c>
      <c r="D257" s="3" t="s">
        <v>385</v>
      </c>
      <c r="E257" s="3" t="s">
        <v>313</v>
      </c>
      <c r="F257" s="3">
        <v>1</v>
      </c>
      <c r="G257" s="3">
        <v>5.08</v>
      </c>
      <c r="H257" s="3">
        <v>757.96</v>
      </c>
      <c r="I257" s="2"/>
    </row>
    <row r="258" spans="1:9" x14ac:dyDescent="0.25">
      <c r="A258" s="2">
        <v>46141</v>
      </c>
      <c r="B258" s="18" t="s">
        <v>386</v>
      </c>
      <c r="C258" s="25" t="s">
        <v>387</v>
      </c>
      <c r="D258" s="3" t="s">
        <v>388</v>
      </c>
      <c r="E258" s="3" t="s">
        <v>10</v>
      </c>
      <c r="F258" s="3">
        <v>2</v>
      </c>
      <c r="G258" s="3">
        <v>0.6</v>
      </c>
      <c r="H258" s="3">
        <v>37.15</v>
      </c>
      <c r="I258" s="2"/>
    </row>
    <row r="259" spans="1:9" x14ac:dyDescent="0.25">
      <c r="A259" s="2">
        <v>46141</v>
      </c>
      <c r="B259" s="18" t="s">
        <v>389</v>
      </c>
      <c r="C259" s="25" t="s">
        <v>390</v>
      </c>
      <c r="D259" s="3" t="s">
        <v>162</v>
      </c>
      <c r="E259" s="3" t="s">
        <v>26</v>
      </c>
      <c r="F259" s="3">
        <v>40</v>
      </c>
      <c r="G259" s="3">
        <v>83.13</v>
      </c>
      <c r="H259" s="3">
        <v>6918.91</v>
      </c>
      <c r="I259" s="2"/>
    </row>
    <row r="260" spans="1:9" x14ac:dyDescent="0.25">
      <c r="A260" s="2">
        <v>46141</v>
      </c>
      <c r="B260" s="18" t="s">
        <v>391</v>
      </c>
      <c r="C260" s="25" t="s">
        <v>392</v>
      </c>
      <c r="D260" s="3" t="s">
        <v>263</v>
      </c>
      <c r="E260" s="3" t="s">
        <v>26</v>
      </c>
      <c r="F260" s="3">
        <v>0</v>
      </c>
      <c r="G260" s="3">
        <v>19.739999999999998</v>
      </c>
      <c r="H260" s="3">
        <v>1168.0999999999999</v>
      </c>
      <c r="I260" s="2"/>
    </row>
    <row r="261" spans="1:9" x14ac:dyDescent="0.25">
      <c r="A261" s="2">
        <v>46142</v>
      </c>
      <c r="B261" s="18" t="s">
        <v>393</v>
      </c>
      <c r="C261" s="25" t="s">
        <v>394</v>
      </c>
      <c r="D261" s="3" t="s">
        <v>395</v>
      </c>
      <c r="E261" s="3" t="s">
        <v>26</v>
      </c>
      <c r="F261" s="3">
        <v>1</v>
      </c>
      <c r="G261" s="3">
        <v>0.83</v>
      </c>
      <c r="H261" s="3">
        <v>105.31</v>
      </c>
      <c r="I261" s="2"/>
    </row>
    <row r="262" spans="1:9" x14ac:dyDescent="0.25">
      <c r="A262" s="2">
        <v>46142</v>
      </c>
      <c r="B262" s="18" t="s">
        <v>396</v>
      </c>
      <c r="C262" s="25" t="s">
        <v>397</v>
      </c>
      <c r="D262" s="3" t="s">
        <v>9</v>
      </c>
      <c r="E262" s="3" t="s">
        <v>326</v>
      </c>
      <c r="F262" s="3">
        <v>1490</v>
      </c>
      <c r="G262" s="3">
        <v>1287.06</v>
      </c>
      <c r="H262" s="3">
        <v>135061.37</v>
      </c>
      <c r="I262" s="2"/>
    </row>
    <row r="263" spans="1:9" x14ac:dyDescent="0.25">
      <c r="A263" s="2">
        <v>46142</v>
      </c>
      <c r="B263" s="18" t="s">
        <v>398</v>
      </c>
      <c r="C263" s="25" t="s">
        <v>399</v>
      </c>
      <c r="D263" s="3" t="s">
        <v>400</v>
      </c>
      <c r="E263" s="3" t="s">
        <v>26</v>
      </c>
      <c r="F263" s="3">
        <v>4</v>
      </c>
      <c r="G263" s="3">
        <v>5.87</v>
      </c>
      <c r="H263" s="3">
        <v>1085.04</v>
      </c>
      <c r="I263" s="2"/>
    </row>
    <row r="264" spans="1:9" x14ac:dyDescent="0.25">
      <c r="A264" s="2">
        <v>46146</v>
      </c>
      <c r="B264" s="18" t="s">
        <v>401</v>
      </c>
      <c r="C264" s="25" t="s">
        <v>402</v>
      </c>
      <c r="D264" s="3" t="s">
        <v>85</v>
      </c>
      <c r="E264" s="3" t="s">
        <v>313</v>
      </c>
      <c r="F264" s="3">
        <v>129</v>
      </c>
      <c r="G264" s="3">
        <v>172.7</v>
      </c>
      <c r="H264" s="3">
        <v>14482.9</v>
      </c>
      <c r="I264" s="2"/>
    </row>
    <row r="265" spans="1:9" x14ac:dyDescent="0.25">
      <c r="A265" s="2">
        <v>46147</v>
      </c>
      <c r="B265" s="18" t="s">
        <v>406</v>
      </c>
      <c r="C265" s="25" t="s">
        <v>407</v>
      </c>
      <c r="D265" s="3" t="s">
        <v>85</v>
      </c>
      <c r="E265" s="3" t="s">
        <v>313</v>
      </c>
      <c r="F265" s="3">
        <v>35</v>
      </c>
      <c r="G265" s="3">
        <v>35.58</v>
      </c>
      <c r="H265" s="3">
        <v>3119.44</v>
      </c>
      <c r="I265" s="2"/>
    </row>
    <row r="266" spans="1:9" x14ac:dyDescent="0.25">
      <c r="A266" s="2">
        <v>46147</v>
      </c>
      <c r="B266" s="18" t="s">
        <v>408</v>
      </c>
      <c r="C266" s="25" t="s">
        <v>409</v>
      </c>
      <c r="D266" s="3" t="s">
        <v>85</v>
      </c>
      <c r="E266" s="3" t="s">
        <v>313</v>
      </c>
      <c r="F266" s="3">
        <v>24</v>
      </c>
      <c r="G266" s="3">
        <v>25.41</v>
      </c>
      <c r="H266" s="3">
        <v>2207.88</v>
      </c>
      <c r="I266" s="2"/>
    </row>
    <row r="267" spans="1:9" x14ac:dyDescent="0.25">
      <c r="A267" s="2">
        <v>46148</v>
      </c>
      <c r="B267" s="18" t="s">
        <v>410</v>
      </c>
      <c r="C267" s="25" t="s">
        <v>411</v>
      </c>
      <c r="D267" s="3" t="s">
        <v>412</v>
      </c>
      <c r="E267" s="3" t="s">
        <v>26</v>
      </c>
      <c r="F267" s="3">
        <v>337</v>
      </c>
      <c r="G267" s="3">
        <v>75.33</v>
      </c>
      <c r="H267" s="3">
        <v>6499.43</v>
      </c>
      <c r="I267" s="2"/>
    </row>
    <row r="268" spans="1:9" x14ac:dyDescent="0.25">
      <c r="A268" s="2">
        <v>46148</v>
      </c>
      <c r="B268" s="18">
        <v>1778139943336</v>
      </c>
      <c r="C268" s="25" t="s">
        <v>413</v>
      </c>
      <c r="D268" s="3" t="s">
        <v>9</v>
      </c>
      <c r="E268" s="3" t="s">
        <v>414</v>
      </c>
      <c r="F268" s="3">
        <v>4476</v>
      </c>
      <c r="G268" s="3">
        <v>1710.65</v>
      </c>
      <c r="H268" s="3">
        <v>126270.73</v>
      </c>
      <c r="I268" s="2"/>
    </row>
    <row r="269" spans="1:9" x14ac:dyDescent="0.25">
      <c r="A269" s="2">
        <v>46148</v>
      </c>
      <c r="B269" s="18" t="s">
        <v>416</v>
      </c>
      <c r="C269" s="25" t="s">
        <v>417</v>
      </c>
      <c r="D269" s="3" t="s">
        <v>85</v>
      </c>
      <c r="E269" s="3" t="s">
        <v>313</v>
      </c>
      <c r="F269" s="3">
        <v>63</v>
      </c>
      <c r="G269" s="3">
        <v>206.83</v>
      </c>
      <c r="H269" s="3">
        <v>20152.18</v>
      </c>
      <c r="I269" s="2"/>
    </row>
    <row r="270" spans="1:9" x14ac:dyDescent="0.25">
      <c r="A270" s="2">
        <v>46149</v>
      </c>
      <c r="B270" s="18" t="s">
        <v>418</v>
      </c>
      <c r="C270" s="25" t="s">
        <v>419</v>
      </c>
      <c r="D270" s="3" t="s">
        <v>85</v>
      </c>
      <c r="E270" s="3" t="s">
        <v>313</v>
      </c>
      <c r="F270" s="3">
        <v>22</v>
      </c>
      <c r="G270" s="3">
        <v>23.16</v>
      </c>
      <c r="H270" s="3">
        <v>2014.88</v>
      </c>
      <c r="I270" s="2"/>
    </row>
    <row r="271" spans="1:9" x14ac:dyDescent="0.25">
      <c r="A271" s="2">
        <v>46150</v>
      </c>
      <c r="B271" s="18">
        <v>1778102422953</v>
      </c>
      <c r="C271" s="25" t="s">
        <v>420</v>
      </c>
      <c r="D271" s="3" t="s">
        <v>149</v>
      </c>
      <c r="E271" s="3" t="s">
        <v>10</v>
      </c>
      <c r="F271" s="3">
        <v>7</v>
      </c>
      <c r="G271" s="3">
        <v>33.68</v>
      </c>
      <c r="H271" s="3">
        <v>5584.65</v>
      </c>
      <c r="I271" s="2"/>
    </row>
    <row r="272" spans="1:9" x14ac:dyDescent="0.25">
      <c r="A272" s="2">
        <v>46150</v>
      </c>
      <c r="B272" s="18" t="s">
        <v>421</v>
      </c>
      <c r="C272" s="25" t="s">
        <v>422</v>
      </c>
      <c r="D272" s="3" t="s">
        <v>91</v>
      </c>
      <c r="E272" s="3" t="s">
        <v>313</v>
      </c>
      <c r="F272" s="3">
        <v>20</v>
      </c>
      <c r="G272" s="3">
        <v>24</v>
      </c>
      <c r="H272" s="3">
        <v>2436</v>
      </c>
      <c r="I272" s="2"/>
    </row>
    <row r="273" spans="1:9" x14ac:dyDescent="0.25">
      <c r="A273" s="2">
        <v>46150</v>
      </c>
      <c r="B273" s="18" t="s">
        <v>423</v>
      </c>
      <c r="C273" s="25" t="s">
        <v>424</v>
      </c>
      <c r="D273" s="3" t="s">
        <v>85</v>
      </c>
      <c r="E273" s="3" t="s">
        <v>313</v>
      </c>
      <c r="F273" s="3">
        <v>149</v>
      </c>
      <c r="G273" s="3">
        <v>157.08000000000001</v>
      </c>
      <c r="H273" s="3">
        <v>13786.44</v>
      </c>
      <c r="I273" s="2"/>
    </row>
    <row r="274" spans="1:9" x14ac:dyDescent="0.25">
      <c r="A274" s="2">
        <v>46153</v>
      </c>
      <c r="B274" s="18" t="s">
        <v>425</v>
      </c>
      <c r="C274" s="25" t="s">
        <v>426</v>
      </c>
      <c r="D274" s="3" t="s">
        <v>412</v>
      </c>
      <c r="E274" s="3" t="s">
        <v>26</v>
      </c>
      <c r="F274" s="3">
        <v>136</v>
      </c>
      <c r="G274" s="3">
        <v>33.49</v>
      </c>
      <c r="H274" s="3">
        <v>3000.7</v>
      </c>
      <c r="I274" s="2"/>
    </row>
    <row r="275" spans="1:9" x14ac:dyDescent="0.25">
      <c r="A275" s="2">
        <v>46154</v>
      </c>
      <c r="B275" s="18" t="s">
        <v>427</v>
      </c>
      <c r="C275" s="25" t="s">
        <v>428</v>
      </c>
      <c r="D275" s="3" t="s">
        <v>91</v>
      </c>
      <c r="E275" s="3" t="s">
        <v>313</v>
      </c>
      <c r="F275" s="3">
        <v>1</v>
      </c>
      <c r="G275" s="3">
        <v>1.21</v>
      </c>
      <c r="H275" s="3">
        <v>116.67</v>
      </c>
      <c r="I275" s="2"/>
    </row>
    <row r="276" spans="1:9" x14ac:dyDescent="0.25">
      <c r="A276" s="2">
        <v>46154</v>
      </c>
      <c r="B276" s="18" t="s">
        <v>429</v>
      </c>
      <c r="C276" s="25" t="s">
        <v>430</v>
      </c>
      <c r="D276" s="3" t="s">
        <v>85</v>
      </c>
      <c r="E276" s="3" t="s">
        <v>313</v>
      </c>
      <c r="F276" s="3">
        <v>22</v>
      </c>
      <c r="G276" s="3">
        <v>118.96</v>
      </c>
      <c r="H276" s="3">
        <v>11172.09</v>
      </c>
      <c r="I276" s="2"/>
    </row>
    <row r="277" spans="1:9" x14ac:dyDescent="0.25">
      <c r="A277" s="2">
        <v>46156</v>
      </c>
      <c r="B277" s="18" t="s">
        <v>431</v>
      </c>
      <c r="C277" s="25" t="s">
        <v>432</v>
      </c>
      <c r="D277" s="3" t="s">
        <v>85</v>
      </c>
      <c r="E277" s="3" t="s">
        <v>313</v>
      </c>
      <c r="F277" s="3">
        <v>7</v>
      </c>
      <c r="G277" s="3">
        <v>49.29</v>
      </c>
      <c r="H277" s="3">
        <v>5017.67</v>
      </c>
      <c r="I277" s="2"/>
    </row>
    <row r="278" spans="1:9" x14ac:dyDescent="0.25">
      <c r="A278" s="2">
        <v>46156</v>
      </c>
      <c r="B278" s="18">
        <v>1778752349090</v>
      </c>
      <c r="C278" s="25" t="s">
        <v>433</v>
      </c>
      <c r="D278" s="3" t="s">
        <v>233</v>
      </c>
      <c r="E278" s="3" t="s">
        <v>414</v>
      </c>
      <c r="F278" s="3">
        <v>26</v>
      </c>
      <c r="G278" s="3">
        <v>118.84</v>
      </c>
      <c r="H278" s="3">
        <v>15056</v>
      </c>
      <c r="I278" s="2"/>
    </row>
    <row r="279" spans="1:9" x14ac:dyDescent="0.25">
      <c r="A279" s="2">
        <v>46157</v>
      </c>
      <c r="B279" s="18">
        <v>1778830633246</v>
      </c>
      <c r="C279" s="25" t="s">
        <v>434</v>
      </c>
      <c r="D279" s="3" t="s">
        <v>9</v>
      </c>
      <c r="E279" s="3" t="s">
        <v>414</v>
      </c>
      <c r="F279" s="3">
        <v>4188</v>
      </c>
      <c r="G279" s="3">
        <v>1748.61</v>
      </c>
      <c r="H279" s="3">
        <v>138458.21</v>
      </c>
      <c r="I279" s="2"/>
    </row>
    <row r="280" spans="1:9" x14ac:dyDescent="0.25">
      <c r="A280" s="2">
        <v>46157</v>
      </c>
      <c r="B280" s="18" t="s">
        <v>435</v>
      </c>
      <c r="C280" s="25" t="s">
        <v>436</v>
      </c>
      <c r="D280" s="3" t="s">
        <v>85</v>
      </c>
      <c r="E280" s="3" t="s">
        <v>313</v>
      </c>
      <c r="F280" s="3">
        <v>17</v>
      </c>
      <c r="G280" s="3">
        <v>119.58</v>
      </c>
      <c r="H280" s="3">
        <v>11659.19</v>
      </c>
      <c r="I280" s="2"/>
    </row>
    <row r="281" spans="1:9" x14ac:dyDescent="0.25">
      <c r="A281" s="2">
        <v>46161</v>
      </c>
      <c r="B281" s="18" t="s">
        <v>438</v>
      </c>
      <c r="C281" s="25" t="s">
        <v>439</v>
      </c>
      <c r="D281" s="3" t="s">
        <v>263</v>
      </c>
      <c r="E281" s="3" t="s">
        <v>26</v>
      </c>
      <c r="F281" s="3">
        <v>0</v>
      </c>
      <c r="G281" s="3">
        <v>10.15</v>
      </c>
      <c r="H281" s="3">
        <v>656.8</v>
      </c>
      <c r="I281" s="2"/>
    </row>
    <row r="282" spans="1:9" x14ac:dyDescent="0.25">
      <c r="A282" s="2">
        <v>46162</v>
      </c>
      <c r="B282" s="18" t="s">
        <v>440</v>
      </c>
      <c r="C282" s="25" t="s">
        <v>441</v>
      </c>
      <c r="D282" s="3" t="s">
        <v>85</v>
      </c>
      <c r="E282" s="3" t="s">
        <v>313</v>
      </c>
      <c r="F282" s="3">
        <v>7</v>
      </c>
      <c r="G282" s="3">
        <v>25.18</v>
      </c>
      <c r="H282" s="3">
        <v>2364.61</v>
      </c>
      <c r="I282" s="2"/>
    </row>
    <row r="283" spans="1:9" x14ac:dyDescent="0.25">
      <c r="A283" s="2">
        <v>46163</v>
      </c>
      <c r="B283" s="18">
        <v>1779349435031</v>
      </c>
      <c r="C283" s="25" t="s">
        <v>443</v>
      </c>
      <c r="D283" s="3" t="s">
        <v>9</v>
      </c>
      <c r="E283" s="3" t="s">
        <v>414</v>
      </c>
      <c r="F283" s="3">
        <v>2751</v>
      </c>
      <c r="G283" s="3">
        <v>755.28</v>
      </c>
      <c r="H283" s="3">
        <v>59145.34</v>
      </c>
      <c r="I283" s="2"/>
    </row>
    <row r="284" spans="1:9" x14ac:dyDescent="0.25">
      <c r="A284" s="2">
        <v>46163</v>
      </c>
      <c r="B284" s="18" t="s">
        <v>446</v>
      </c>
      <c r="C284" s="25" t="s">
        <v>447</v>
      </c>
      <c r="D284" s="3" t="s">
        <v>162</v>
      </c>
      <c r="E284" s="3" t="s">
        <v>26</v>
      </c>
      <c r="F284" s="3">
        <v>33</v>
      </c>
      <c r="G284" s="3">
        <v>68.23</v>
      </c>
      <c r="H284" s="3">
        <v>5728.33</v>
      </c>
      <c r="I284" s="2"/>
    </row>
    <row r="285" spans="1:9" x14ac:dyDescent="0.25">
      <c r="A285" s="2">
        <v>46164</v>
      </c>
      <c r="B285" s="18" t="s">
        <v>444</v>
      </c>
      <c r="C285" s="25" t="s">
        <v>445</v>
      </c>
      <c r="D285" s="3" t="s">
        <v>9</v>
      </c>
      <c r="E285" s="3" t="s">
        <v>313</v>
      </c>
      <c r="F285" s="3">
        <v>279</v>
      </c>
      <c r="G285" s="3">
        <v>491.59</v>
      </c>
      <c r="H285" s="3">
        <v>51151.73</v>
      </c>
      <c r="I285" s="2"/>
    </row>
    <row r="286" spans="1:9" x14ac:dyDescent="0.25">
      <c r="A286" s="2">
        <v>46165</v>
      </c>
      <c r="B286" s="18" t="s">
        <v>448</v>
      </c>
      <c r="C286" s="25" t="s">
        <v>449</v>
      </c>
      <c r="D286" s="3" t="s">
        <v>85</v>
      </c>
      <c r="E286" s="3" t="s">
        <v>313</v>
      </c>
      <c r="F286" s="3">
        <v>1</v>
      </c>
      <c r="G286" s="3">
        <v>7.04</v>
      </c>
      <c r="H286" s="3">
        <v>698.79</v>
      </c>
      <c r="I286" s="2"/>
    </row>
    <row r="287" spans="1:9" x14ac:dyDescent="0.25">
      <c r="A287" s="2">
        <v>46168</v>
      </c>
      <c r="B287" s="18" t="s">
        <v>450</v>
      </c>
      <c r="C287" s="25" t="s">
        <v>451</v>
      </c>
      <c r="D287" s="3" t="s">
        <v>452</v>
      </c>
      <c r="E287" s="3" t="s">
        <v>313</v>
      </c>
      <c r="F287" s="3">
        <v>1</v>
      </c>
      <c r="G287" s="3">
        <v>1.08</v>
      </c>
      <c r="H287" s="3">
        <v>92.08</v>
      </c>
      <c r="I287" s="2"/>
    </row>
    <row r="288" spans="1:9" x14ac:dyDescent="0.25">
      <c r="A288" s="2">
        <v>46171</v>
      </c>
      <c r="B288" s="18" t="s">
        <v>453</v>
      </c>
      <c r="C288" s="25" t="s">
        <v>454</v>
      </c>
      <c r="D288" s="3" t="s">
        <v>162</v>
      </c>
      <c r="E288" s="3" t="s">
        <v>26</v>
      </c>
      <c r="F288" s="3">
        <v>13</v>
      </c>
      <c r="G288" s="3">
        <v>26.84</v>
      </c>
      <c r="H288" s="3">
        <v>2223.54</v>
      </c>
      <c r="I288" s="2"/>
    </row>
    <row r="289" spans="1:9" x14ac:dyDescent="0.25">
      <c r="A289" s="2">
        <v>46171</v>
      </c>
      <c r="B289" s="18">
        <v>1780043924196</v>
      </c>
      <c r="C289" s="25" t="s">
        <v>455</v>
      </c>
      <c r="D289" s="3" t="s">
        <v>47</v>
      </c>
      <c r="E289" s="3" t="s">
        <v>414</v>
      </c>
      <c r="F289" s="3">
        <v>3</v>
      </c>
      <c r="G289" s="3">
        <v>3.92</v>
      </c>
      <c r="H289" s="3">
        <v>397.41</v>
      </c>
      <c r="I289" s="2"/>
    </row>
    <row r="290" spans="1:9" x14ac:dyDescent="0.25">
      <c r="A290" s="2">
        <v>46171</v>
      </c>
      <c r="B290" s="18" t="s">
        <v>456</v>
      </c>
      <c r="C290" s="25" t="s">
        <v>457</v>
      </c>
      <c r="D290" s="3" t="s">
        <v>458</v>
      </c>
      <c r="E290" s="3" t="s">
        <v>26</v>
      </c>
      <c r="F290" s="3">
        <v>13</v>
      </c>
      <c r="G290" s="3">
        <v>130.79</v>
      </c>
      <c r="H290" s="3">
        <v>13275.19</v>
      </c>
      <c r="I290" s="2"/>
    </row>
    <row r="291" spans="1:9" x14ac:dyDescent="0.25">
      <c r="A291" s="2">
        <v>46172</v>
      </c>
      <c r="B291" s="18" t="s">
        <v>459</v>
      </c>
      <c r="C291" s="25" t="s">
        <v>460</v>
      </c>
      <c r="D291" s="3" t="s">
        <v>85</v>
      </c>
      <c r="E291" s="3" t="s">
        <v>313</v>
      </c>
      <c r="F291" s="3">
        <v>2</v>
      </c>
      <c r="G291" s="3">
        <v>14.1</v>
      </c>
      <c r="H291" s="3">
        <v>1399.56</v>
      </c>
      <c r="I291" s="2"/>
    </row>
    <row r="292" spans="1:9" x14ac:dyDescent="0.25">
      <c r="A292" s="2">
        <v>46172</v>
      </c>
      <c r="B292" s="18" t="s">
        <v>461</v>
      </c>
      <c r="C292" s="25" t="s">
        <v>462</v>
      </c>
      <c r="D292" s="3" t="s">
        <v>162</v>
      </c>
      <c r="E292" s="3" t="s">
        <v>26</v>
      </c>
      <c r="F292" s="3">
        <v>4</v>
      </c>
      <c r="G292" s="3">
        <v>8.23</v>
      </c>
      <c r="H292" s="3">
        <v>685.65</v>
      </c>
      <c r="I292" s="2"/>
    </row>
    <row r="293" spans="1:9" x14ac:dyDescent="0.25">
      <c r="A293" s="2">
        <v>46174</v>
      </c>
      <c r="B293" s="18" t="s">
        <v>489</v>
      </c>
      <c r="C293" s="25" t="s">
        <v>488</v>
      </c>
      <c r="D293" s="3" t="s">
        <v>85</v>
      </c>
      <c r="E293" s="3" t="s">
        <v>313</v>
      </c>
      <c r="F293" s="3">
        <v>1</v>
      </c>
      <c r="G293" s="3">
        <v>2.0299999999999998</v>
      </c>
      <c r="H293" s="3">
        <v>185.38</v>
      </c>
      <c r="I293" s="2"/>
    </row>
    <row r="294" spans="1:9" x14ac:dyDescent="0.25">
      <c r="A294" s="2">
        <v>46175</v>
      </c>
      <c r="B294" s="28">
        <v>1780382679534</v>
      </c>
      <c r="C294" s="25" t="s">
        <v>490</v>
      </c>
      <c r="D294" s="3" t="s">
        <v>9</v>
      </c>
      <c r="E294" s="3" t="s">
        <v>76</v>
      </c>
      <c r="F294" s="3">
        <v>13586</v>
      </c>
      <c r="G294" s="3">
        <v>1730.48</v>
      </c>
      <c r="H294" s="3">
        <v>104207.39</v>
      </c>
      <c r="I294" s="2"/>
    </row>
    <row r="295" spans="1:9" x14ac:dyDescent="0.25">
      <c r="A295" s="2">
        <v>46176</v>
      </c>
      <c r="B295" s="3" t="s">
        <v>491</v>
      </c>
      <c r="C295" s="3" t="s">
        <v>492</v>
      </c>
      <c r="D295" s="3" t="s">
        <v>91</v>
      </c>
      <c r="E295" s="18" t="s">
        <v>26</v>
      </c>
      <c r="F295" s="3">
        <v>20</v>
      </c>
      <c r="G295" s="3">
        <v>24.32</v>
      </c>
      <c r="H295" s="3">
        <v>2468.48</v>
      </c>
      <c r="I295" s="2"/>
    </row>
    <row r="296" spans="1:9" x14ac:dyDescent="0.25">
      <c r="A296" s="2">
        <v>46177</v>
      </c>
      <c r="B296" s="25" t="s">
        <v>493</v>
      </c>
      <c r="C296" s="3" t="s">
        <v>494</v>
      </c>
      <c r="D296" s="3" t="s">
        <v>495</v>
      </c>
      <c r="E296" s="18" t="s">
        <v>26</v>
      </c>
      <c r="F296" s="3">
        <v>1</v>
      </c>
      <c r="G296" s="3">
        <v>9.08</v>
      </c>
      <c r="H296" s="3">
        <v>912.4</v>
      </c>
      <c r="I296" s="2"/>
    </row>
    <row r="297" spans="1:9" x14ac:dyDescent="0.25">
      <c r="A297" s="2">
        <v>46177</v>
      </c>
      <c r="B297" s="25" t="s">
        <v>496</v>
      </c>
      <c r="C297" s="3" t="s">
        <v>497</v>
      </c>
      <c r="D297" s="3" t="s">
        <v>85</v>
      </c>
      <c r="E297" s="18" t="s">
        <v>313</v>
      </c>
      <c r="F297" s="3">
        <v>395</v>
      </c>
      <c r="G297" s="3">
        <v>849.48</v>
      </c>
      <c r="H297" s="3">
        <v>74866.490000000005</v>
      </c>
      <c r="I297" s="2"/>
    </row>
    <row r="298" spans="1:9" x14ac:dyDescent="0.25">
      <c r="A298" s="2">
        <v>46178</v>
      </c>
      <c r="B298" s="29">
        <v>1780647239781</v>
      </c>
      <c r="C298" s="3" t="s">
        <v>498</v>
      </c>
      <c r="D298" s="3" t="s">
        <v>9</v>
      </c>
      <c r="E298" s="18" t="s">
        <v>326</v>
      </c>
      <c r="F298" s="3">
        <v>4522</v>
      </c>
      <c r="G298" s="3">
        <v>2194.37</v>
      </c>
      <c r="H298" s="3">
        <v>184743.54</v>
      </c>
      <c r="I298" s="2"/>
    </row>
    <row r="299" spans="1:9" x14ac:dyDescent="0.25">
      <c r="A299" s="2">
        <v>46179</v>
      </c>
      <c r="B299" s="29" t="s">
        <v>499</v>
      </c>
      <c r="C299" s="3" t="s">
        <v>500</v>
      </c>
      <c r="D299" s="3" t="s">
        <v>9</v>
      </c>
      <c r="E299" s="18" t="s">
        <v>26</v>
      </c>
      <c r="F299" s="3">
        <v>34</v>
      </c>
      <c r="G299" s="3">
        <v>14.54</v>
      </c>
      <c r="H299" s="3">
        <v>970.98</v>
      </c>
      <c r="I299" s="2"/>
    </row>
    <row r="300" spans="1:9" x14ac:dyDescent="0.25">
      <c r="A300" s="2">
        <v>46179</v>
      </c>
      <c r="B300" s="29">
        <v>1780728684843</v>
      </c>
      <c r="C300" s="3" t="s">
        <v>501</v>
      </c>
      <c r="D300" s="3" t="s">
        <v>9</v>
      </c>
      <c r="E300" s="18" t="s">
        <v>326</v>
      </c>
      <c r="F300" s="3">
        <v>249</v>
      </c>
      <c r="G300" s="3">
        <v>144.71</v>
      </c>
      <c r="H300" s="3">
        <v>23211.5</v>
      </c>
      <c r="I300" s="2"/>
    </row>
    <row r="301" spans="1:9" x14ac:dyDescent="0.25">
      <c r="A301" s="2">
        <v>46182</v>
      </c>
      <c r="B301" s="25" t="s">
        <v>503</v>
      </c>
      <c r="C301" s="3" t="s">
        <v>504</v>
      </c>
      <c r="D301" s="3" t="s">
        <v>85</v>
      </c>
      <c r="E301" s="18" t="s">
        <v>313</v>
      </c>
      <c r="F301" s="3">
        <v>301</v>
      </c>
      <c r="G301" s="3">
        <v>441.88</v>
      </c>
      <c r="H301" s="3">
        <v>38482.769999999997</v>
      </c>
      <c r="I301" s="2"/>
    </row>
    <row r="302" spans="1:9" x14ac:dyDescent="0.25">
      <c r="A302" s="15">
        <v>46183</v>
      </c>
      <c r="B302" s="20">
        <v>1781076238805</v>
      </c>
      <c r="C302" s="27" t="s">
        <v>506</v>
      </c>
      <c r="D302" t="s">
        <v>9</v>
      </c>
      <c r="E302" s="30" t="s">
        <v>414</v>
      </c>
      <c r="F302">
        <v>236</v>
      </c>
      <c r="G302">
        <v>269.60000000000002</v>
      </c>
      <c r="H302">
        <v>24663.97</v>
      </c>
    </row>
    <row r="304" spans="1:9" x14ac:dyDescent="0.25">
      <c r="A304"/>
      <c r="B304"/>
      <c r="C304"/>
    </row>
  </sheetData>
  <conditionalFormatting sqref="C2:C226">
    <cfRule type="duplicateValues" dxfId="3" priority="7"/>
  </conditionalFormatting>
  <conditionalFormatting sqref="C310:C1048576 B296:B301 C1:C294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4A38-0356-46D8-B4EB-C0934258A003}">
  <dimension ref="A1:I20"/>
  <sheetViews>
    <sheetView workbookViewId="0">
      <selection activeCell="O18" sqref="O18"/>
    </sheetView>
  </sheetViews>
  <sheetFormatPr defaultRowHeight="15" x14ac:dyDescent="0.25"/>
  <cols>
    <col min="1" max="1" width="10.42578125" bestFit="1" customWidth="1"/>
    <col min="2" max="2" width="15.85546875" bestFit="1" customWidth="1"/>
    <col min="3" max="3" width="15.28515625" bestFit="1" customWidth="1"/>
    <col min="4" max="4" width="11.85546875" bestFit="1" customWidth="1"/>
    <col min="5" max="5" width="10.85546875" bestFit="1" customWidth="1"/>
    <col min="6" max="6" width="6" bestFit="1" customWidth="1"/>
    <col min="7" max="7" width="10.42578125" bestFit="1" customWidth="1"/>
    <col min="8" max="8" width="9" bestFit="1" customWidth="1"/>
    <col min="9" max="9" width="14.28515625" bestFit="1" customWidth="1"/>
  </cols>
  <sheetData>
    <row r="1" spans="1:9" s="23" customForma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318</v>
      </c>
    </row>
    <row r="2" spans="1:9" x14ac:dyDescent="0.25">
      <c r="A2" s="2">
        <v>45957</v>
      </c>
      <c r="B2" s="18">
        <v>1762927718336</v>
      </c>
      <c r="C2" s="3" t="s">
        <v>463</v>
      </c>
      <c r="D2" s="3" t="s">
        <v>464</v>
      </c>
      <c r="E2" s="3" t="s">
        <v>465</v>
      </c>
      <c r="F2" s="3">
        <v>3</v>
      </c>
      <c r="G2" s="3">
        <v>9.1999999999999993</v>
      </c>
      <c r="H2" s="3">
        <v>1288.6199999999999</v>
      </c>
      <c r="I2" s="3"/>
    </row>
    <row r="3" spans="1:9" x14ac:dyDescent="0.25">
      <c r="A3" s="2">
        <v>45987</v>
      </c>
      <c r="B3" s="18">
        <v>1764142085855</v>
      </c>
      <c r="C3" s="3" t="s">
        <v>466</v>
      </c>
      <c r="D3" s="3" t="s">
        <v>464</v>
      </c>
      <c r="E3" s="3" t="s">
        <v>465</v>
      </c>
      <c r="F3" s="3">
        <v>2</v>
      </c>
      <c r="G3" s="3">
        <v>7.14</v>
      </c>
      <c r="H3" s="3">
        <v>1656.3</v>
      </c>
      <c r="I3" s="3"/>
    </row>
    <row r="4" spans="1:9" x14ac:dyDescent="0.25">
      <c r="A4" s="2">
        <v>46070</v>
      </c>
      <c r="B4" s="18">
        <v>1770989656939</v>
      </c>
      <c r="C4" s="3" t="s">
        <v>467</v>
      </c>
      <c r="D4" s="3" t="s">
        <v>468</v>
      </c>
      <c r="E4" s="3" t="s">
        <v>469</v>
      </c>
      <c r="F4" s="3">
        <v>31</v>
      </c>
      <c r="G4" s="3">
        <v>117.83</v>
      </c>
      <c r="H4" s="4">
        <v>11361.7</v>
      </c>
      <c r="I4" s="3"/>
    </row>
    <row r="5" spans="1:9" x14ac:dyDescent="0.25">
      <c r="A5" s="2">
        <v>46114</v>
      </c>
      <c r="B5" s="18" t="s">
        <v>442</v>
      </c>
      <c r="C5" s="3" t="s">
        <v>470</v>
      </c>
      <c r="D5" s="3" t="s">
        <v>468</v>
      </c>
      <c r="E5" s="3" t="s">
        <v>26</v>
      </c>
      <c r="F5" s="3">
        <v>10050</v>
      </c>
      <c r="G5" s="3">
        <v>202.34</v>
      </c>
      <c r="H5" s="3">
        <v>11128</v>
      </c>
      <c r="I5" s="3"/>
    </row>
    <row r="6" spans="1:9" x14ac:dyDescent="0.25">
      <c r="A6" s="2">
        <v>46120</v>
      </c>
      <c r="B6" s="18" t="s">
        <v>322</v>
      </c>
      <c r="C6" s="3" t="s">
        <v>323</v>
      </c>
      <c r="D6" s="3" t="s">
        <v>473</v>
      </c>
      <c r="E6" s="3" t="s">
        <v>26</v>
      </c>
      <c r="F6" s="3">
        <v>2454</v>
      </c>
      <c r="G6" s="3">
        <v>601.9</v>
      </c>
      <c r="H6" s="3">
        <v>55133.85</v>
      </c>
      <c r="I6" s="3"/>
    </row>
    <row r="7" spans="1:9" x14ac:dyDescent="0.25">
      <c r="A7" s="2">
        <v>46122</v>
      </c>
      <c r="B7" s="18" t="s">
        <v>471</v>
      </c>
      <c r="C7" s="3" t="s">
        <v>472</v>
      </c>
      <c r="D7" s="3" t="s">
        <v>473</v>
      </c>
      <c r="E7" s="3" t="s">
        <v>326</v>
      </c>
      <c r="F7" s="3">
        <v>332</v>
      </c>
      <c r="G7" s="3">
        <v>122.27</v>
      </c>
      <c r="H7" s="3">
        <v>12857.72</v>
      </c>
      <c r="I7" s="3"/>
    </row>
    <row r="8" spans="1:9" x14ac:dyDescent="0.25">
      <c r="A8" s="2">
        <v>46126</v>
      </c>
      <c r="B8" s="18" t="s">
        <v>341</v>
      </c>
      <c r="C8" s="3" t="s">
        <v>474</v>
      </c>
      <c r="D8" s="3" t="s">
        <v>475</v>
      </c>
      <c r="E8" s="3" t="s">
        <v>326</v>
      </c>
      <c r="F8" s="3">
        <v>710</v>
      </c>
      <c r="G8" s="3">
        <v>361.32</v>
      </c>
      <c r="H8" s="3">
        <v>35668.050000000003</v>
      </c>
      <c r="I8" s="3"/>
    </row>
    <row r="9" spans="1:9" x14ac:dyDescent="0.25">
      <c r="A9" s="2">
        <v>46127</v>
      </c>
      <c r="B9" s="18" t="s">
        <v>476</v>
      </c>
      <c r="C9" s="3" t="s">
        <v>477</v>
      </c>
      <c r="D9" s="3" t="s">
        <v>475</v>
      </c>
      <c r="E9" s="3" t="s">
        <v>326</v>
      </c>
      <c r="F9" s="3">
        <v>1577</v>
      </c>
      <c r="G9" s="3">
        <v>137.86000000000001</v>
      </c>
      <c r="H9" s="3">
        <v>15808.81</v>
      </c>
      <c r="I9" s="3"/>
    </row>
    <row r="10" spans="1:9" x14ac:dyDescent="0.25">
      <c r="A10" s="2">
        <v>46129</v>
      </c>
      <c r="B10" s="18" t="s">
        <v>349</v>
      </c>
      <c r="C10" s="3" t="s">
        <v>478</v>
      </c>
      <c r="D10" s="3" t="s">
        <v>475</v>
      </c>
      <c r="E10" s="3" t="s">
        <v>26</v>
      </c>
      <c r="F10" s="3">
        <v>14966</v>
      </c>
      <c r="G10" s="3">
        <v>481.54</v>
      </c>
      <c r="H10" s="3">
        <v>25889.85</v>
      </c>
      <c r="I10" s="3"/>
    </row>
    <row r="11" spans="1:9" x14ac:dyDescent="0.25">
      <c r="A11" s="2">
        <v>46134</v>
      </c>
      <c r="B11" s="18" t="s">
        <v>359</v>
      </c>
      <c r="C11" s="3" t="s">
        <v>479</v>
      </c>
      <c r="D11" s="3" t="s">
        <v>475</v>
      </c>
      <c r="E11" s="3" t="s">
        <v>26</v>
      </c>
      <c r="F11" s="3">
        <v>83</v>
      </c>
      <c r="G11" s="3">
        <v>36.86</v>
      </c>
      <c r="H11" s="3">
        <v>3169.07</v>
      </c>
      <c r="I11" s="3"/>
    </row>
    <row r="12" spans="1:9" x14ac:dyDescent="0.25">
      <c r="A12" s="2">
        <v>46142</v>
      </c>
      <c r="B12" s="18" t="s">
        <v>480</v>
      </c>
      <c r="C12" s="3" t="s">
        <v>481</v>
      </c>
      <c r="D12" s="3" t="s">
        <v>475</v>
      </c>
      <c r="E12" s="3" t="s">
        <v>26</v>
      </c>
      <c r="F12" s="3">
        <v>279</v>
      </c>
      <c r="G12" s="3">
        <v>61.55</v>
      </c>
      <c r="H12" s="3">
        <v>4443.76</v>
      </c>
      <c r="I12" s="3"/>
    </row>
    <row r="13" spans="1:9" x14ac:dyDescent="0.25">
      <c r="A13" s="2">
        <v>46147</v>
      </c>
      <c r="B13" s="18" t="s">
        <v>405</v>
      </c>
      <c r="C13" s="3" t="s">
        <v>482</v>
      </c>
      <c r="D13" s="3" t="s">
        <v>475</v>
      </c>
      <c r="E13" s="3" t="s">
        <v>26</v>
      </c>
      <c r="F13" s="3">
        <v>11890</v>
      </c>
      <c r="G13" s="3">
        <v>139.01</v>
      </c>
      <c r="H13" s="3">
        <v>11921.95</v>
      </c>
      <c r="I13" s="3"/>
    </row>
    <row r="14" spans="1:9" x14ac:dyDescent="0.25">
      <c r="A14" s="2">
        <v>46147</v>
      </c>
      <c r="B14" s="18" t="s">
        <v>403</v>
      </c>
      <c r="C14" s="3" t="s">
        <v>404</v>
      </c>
      <c r="D14" s="3" t="s">
        <v>475</v>
      </c>
      <c r="E14" s="3" t="s">
        <v>26</v>
      </c>
      <c r="F14" s="3">
        <v>190</v>
      </c>
      <c r="G14" s="3">
        <v>47.33</v>
      </c>
      <c r="H14" s="3">
        <v>8935.25</v>
      </c>
      <c r="I14" s="3"/>
    </row>
    <row r="15" spans="1:9" x14ac:dyDescent="0.25">
      <c r="A15" s="2">
        <v>46148</v>
      </c>
      <c r="B15" s="18">
        <v>1778055206603</v>
      </c>
      <c r="C15" s="3" t="s">
        <v>415</v>
      </c>
      <c r="D15" s="3" t="s">
        <v>475</v>
      </c>
      <c r="E15" s="3" t="s">
        <v>414</v>
      </c>
      <c r="F15" s="3">
        <v>5102</v>
      </c>
      <c r="G15" s="3">
        <v>242.94</v>
      </c>
      <c r="H15" s="3">
        <v>14566.98</v>
      </c>
      <c r="I15" s="3"/>
    </row>
    <row r="16" spans="1:9" x14ac:dyDescent="0.25">
      <c r="A16" s="2">
        <v>46158</v>
      </c>
      <c r="B16" s="18" t="s">
        <v>437</v>
      </c>
      <c r="C16" s="3" t="s">
        <v>483</v>
      </c>
      <c r="D16" s="3" t="s">
        <v>475</v>
      </c>
      <c r="E16" s="3" t="s">
        <v>26</v>
      </c>
      <c r="F16" s="3">
        <v>1748</v>
      </c>
      <c r="G16" s="3">
        <v>332.63</v>
      </c>
      <c r="H16" s="3">
        <v>26475.01</v>
      </c>
      <c r="I16" s="3"/>
    </row>
    <row r="17" spans="1:9" x14ac:dyDescent="0.25">
      <c r="A17" s="2">
        <v>46171</v>
      </c>
      <c r="B17" s="18">
        <v>1780037352252</v>
      </c>
      <c r="C17" s="3" t="s">
        <v>484</v>
      </c>
      <c r="D17" s="3" t="s">
        <v>475</v>
      </c>
      <c r="E17" s="3" t="s">
        <v>414</v>
      </c>
      <c r="F17" s="3">
        <v>446</v>
      </c>
      <c r="G17" s="3">
        <v>253.37</v>
      </c>
      <c r="H17" s="3">
        <v>20162.46</v>
      </c>
      <c r="I17" s="3"/>
    </row>
    <row r="18" spans="1:9" x14ac:dyDescent="0.25">
      <c r="A18" s="2">
        <v>46179</v>
      </c>
      <c r="B18" s="29" t="s">
        <v>502</v>
      </c>
      <c r="C18" s="3" t="s">
        <v>505</v>
      </c>
      <c r="D18" s="3" t="s">
        <v>475</v>
      </c>
      <c r="E18" s="18" t="s">
        <v>26</v>
      </c>
      <c r="F18" s="3">
        <v>2795</v>
      </c>
      <c r="G18" s="3">
        <v>149.06</v>
      </c>
      <c r="H18" s="3">
        <v>7897.31</v>
      </c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</sheetData>
  <conditionalFormatting sqref="B18">
    <cfRule type="duplicateValues" dxfId="1" priority="1"/>
  </conditionalFormatting>
  <conditionalFormatting sqref="C2:C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to Buyer</vt:lpstr>
      <vt:lpstr>Internal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RANJE</dc:creator>
  <cp:lastModifiedBy>mihir ranje</cp:lastModifiedBy>
  <dcterms:created xsi:type="dcterms:W3CDTF">2015-06-05T18:17:20Z</dcterms:created>
  <dcterms:modified xsi:type="dcterms:W3CDTF">2026-06-15T10:09:08Z</dcterms:modified>
</cp:coreProperties>
</file>